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 Shiv\Desktop\"/>
    </mc:Choice>
  </mc:AlternateContent>
  <xr:revisionPtr revIDLastSave="0" documentId="8_{A6C4F6FE-773B-408D-985D-15F87944F8D6}" xr6:coauthVersionLast="47" xr6:coauthVersionMax="47" xr10:uidLastSave="{00000000-0000-0000-0000-000000000000}"/>
  <bookViews>
    <workbookView xWindow="-108" yWindow="-108" windowWidth="23256" windowHeight="14616" xr2:uid="{DD50A92E-A67A-4650-8943-B2E488774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  <c r="K45" i="1"/>
  <c r="J45" i="1"/>
  <c r="I45" i="1"/>
  <c r="H45" i="1"/>
  <c r="L42" i="1"/>
  <c r="L34" i="1"/>
  <c r="L33" i="1"/>
  <c r="L32" i="1"/>
  <c r="L27" i="1"/>
  <c r="L18" i="1"/>
  <c r="L15" i="1"/>
  <c r="L14" i="1"/>
  <c r="L45" i="1" s="1"/>
  <c r="C47" i="1" s="1"/>
  <c r="C50" i="1" s="1"/>
</calcChain>
</file>

<file path=xl/sharedStrings.xml><?xml version="1.0" encoding="utf-8"?>
<sst xmlns="http://schemas.openxmlformats.org/spreadsheetml/2006/main" count="145" uniqueCount="73">
  <si>
    <t xml:space="preserve"> A-303,  Road No. 32,  Wagle Industrial Estate.  Thane 400604   (MUMBAI)   INDIA.                                                  Tel : 022 - 2581 7000 ,   Fax : 022-2581 7002 .   E-mail :  info@meyer.co.in</t>
  </si>
  <si>
    <t>EXPENSES  STATEMENT</t>
  </si>
  <si>
    <t>( TO BE SUBMITTED ON LAST DAY OF EACH MONTH ALONG WITH ACTIVITY SUMMARY CHART )</t>
  </si>
  <si>
    <t>Reporting  To :</t>
  </si>
  <si>
    <t>MrNarendra Kirpekar</t>
  </si>
  <si>
    <t>Desg :</t>
  </si>
  <si>
    <t>AVP</t>
  </si>
  <si>
    <t>Name :</t>
  </si>
  <si>
    <t>Ashutosh Shiv</t>
  </si>
  <si>
    <t>Dy NSM</t>
  </si>
  <si>
    <t>State :</t>
  </si>
  <si>
    <t>Delhi</t>
  </si>
  <si>
    <t>H.Q.</t>
  </si>
  <si>
    <t>Month :-  July</t>
  </si>
  <si>
    <t>Date :</t>
  </si>
  <si>
    <t>DATE</t>
  </si>
  <si>
    <t>FROM</t>
  </si>
  <si>
    <t>TO</t>
  </si>
  <si>
    <t>DIST.    IN             K.M. ONE WAY</t>
  </si>
  <si>
    <t>MODE OF CONVEYANCE</t>
  </si>
  <si>
    <t>TIME  OF</t>
  </si>
  <si>
    <t>FARE</t>
  </si>
  <si>
    <t>STAY</t>
  </si>
  <si>
    <t>FOOD</t>
  </si>
  <si>
    <t>DA</t>
  </si>
  <si>
    <t>MISCELLANEOUS     EXPENSES</t>
  </si>
  <si>
    <t>REMARKS</t>
  </si>
  <si>
    <t>T / B / ST</t>
  </si>
  <si>
    <t>DEPT.</t>
  </si>
  <si>
    <t>ARRVL.</t>
  </si>
  <si>
    <t>Rs.</t>
  </si>
  <si>
    <t>Mumbai</t>
  </si>
  <si>
    <t>AIR</t>
  </si>
  <si>
    <t>UBER TAXI</t>
  </si>
  <si>
    <t>Chandigarh</t>
  </si>
  <si>
    <t>Train</t>
  </si>
  <si>
    <t>Hoshiyarpur - Hamirpur</t>
  </si>
  <si>
    <t>Hamirpur</t>
  </si>
  <si>
    <t xml:space="preserve">UBER </t>
  </si>
  <si>
    <t>Weekly Off</t>
  </si>
  <si>
    <t>Sunday</t>
  </si>
  <si>
    <t>Varanasi</t>
  </si>
  <si>
    <t>UBER</t>
  </si>
  <si>
    <t>Gurgaon</t>
  </si>
  <si>
    <t>ST</t>
  </si>
  <si>
    <t>Ghaziabad</t>
  </si>
  <si>
    <t>CAR</t>
  </si>
  <si>
    <t>Ptrol Bill</t>
  </si>
  <si>
    <t xml:space="preserve"> </t>
  </si>
  <si>
    <t xml:space="preserve">GRAND  TOTAL : </t>
  </si>
  <si>
    <t>DETAILS OF CLAIMS IN MISCELLANEOUS COLUMN</t>
  </si>
  <si>
    <t xml:space="preserve">SIGNATURE  :  </t>
  </si>
  <si>
    <t>1. DETAILS OF FIXED EXP</t>
  </si>
  <si>
    <t>2. DETAILS OF OTHER EXP REIMBURSEMENT</t>
  </si>
  <si>
    <t>FOR ASM / RSM / ZSM /SM/ HO USE ONLY :</t>
  </si>
  <si>
    <t>PHONE :</t>
  </si>
  <si>
    <t>STATIONARY :</t>
  </si>
  <si>
    <t>PHOTO COPIES :</t>
  </si>
  <si>
    <t>AMOUNT CLAIMED Rs.  :</t>
  </si>
  <si>
    <t>MOBILE :</t>
  </si>
  <si>
    <t>TELEGRAM :</t>
  </si>
  <si>
    <t>OCTROI :</t>
  </si>
  <si>
    <t>VERIFIED  BY ABM/RBM :</t>
  </si>
  <si>
    <t>POSTAGE :</t>
  </si>
  <si>
    <t>FAX :</t>
  </si>
  <si>
    <t>DEMURRAGE :</t>
  </si>
  <si>
    <t>RECOMMENDED BY RBM/ZBM :</t>
  </si>
  <si>
    <t>E-MAIL :</t>
  </si>
  <si>
    <t>COURIERS :</t>
  </si>
  <si>
    <t>COLLIE / CARTAGE :</t>
  </si>
  <si>
    <t>PASSED BY HO FOR Rs. :</t>
  </si>
  <si>
    <t>TOTAL</t>
  </si>
  <si>
    <t>SIGNATURE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</si>
</sst>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sz val="10"/>
      <name val="Arial Black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1" xfId="0" applyFont="1" applyBorder="1"/>
    <xf numFmtId="0" fontId="1" fillId="0" borderId="18" xfId="0" applyFont="1" applyBorder="1" applyAlignment="1">
      <alignment horizontal="righ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0" borderId="2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17" xfId="0" applyFont="1" applyBorder="1"/>
    <xf numFmtId="0" fontId="1" fillId="0" borderId="1" xfId="0" applyFont="1" applyBorder="1" applyAlignment="1">
      <alignment horizontal="right"/>
    </xf>
    <xf numFmtId="0" fontId="1" fillId="2" borderId="18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7" fontId="1" fillId="0" borderId="18" xfId="0" applyNumberFormat="1" applyFont="1" applyBorder="1" applyAlignment="1">
      <alignment horizontal="right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4" fillId="0" borderId="29" xfId="0" applyFont="1" applyBorder="1" applyAlignment="1">
      <alignment wrapText="1"/>
    </xf>
    <xf numFmtId="0" fontId="7" fillId="0" borderId="29" xfId="0" applyFont="1" applyBorder="1" applyAlignment="1">
      <alignment horizontal="left"/>
    </xf>
    <xf numFmtId="1" fontId="4" fillId="0" borderId="29" xfId="0" applyNumberFormat="1" applyFont="1" applyBorder="1" applyAlignment="1">
      <alignment horizontal="center" vertical="center"/>
    </xf>
    <xf numFmtId="2" fontId="4" fillId="0" borderId="29" xfId="0" applyNumberFormat="1" applyFont="1" applyBorder="1" applyAlignment="1">
      <alignment horizontal="center"/>
    </xf>
    <xf numFmtId="2" fontId="4" fillId="0" borderId="29" xfId="0" applyNumberFormat="1" applyFont="1" applyBorder="1" applyAlignment="1">
      <alignment horizontal="center" vertical="center"/>
    </xf>
    <xf numFmtId="2" fontId="4" fillId="0" borderId="29" xfId="0" applyNumberFormat="1" applyFont="1" applyBorder="1"/>
    <xf numFmtId="2" fontId="4" fillId="0" borderId="30" xfId="0" applyNumberFormat="1" applyFont="1" applyBorder="1"/>
    <xf numFmtId="0" fontId="6" fillId="0" borderId="31" xfId="0" applyFont="1" applyBorder="1" applyAlignment="1">
      <alignment horizontal="center"/>
    </xf>
    <xf numFmtId="0" fontId="4" fillId="0" borderId="32" xfId="0" applyFont="1" applyBorder="1" applyAlignment="1">
      <alignment wrapText="1"/>
    </xf>
    <xf numFmtId="0" fontId="7" fillId="0" borderId="32" xfId="0" applyFont="1" applyBorder="1" applyAlignment="1">
      <alignment horizontal="left"/>
    </xf>
    <xf numFmtId="1" fontId="4" fillId="0" borderId="32" xfId="0" applyNumberFormat="1" applyFont="1" applyBorder="1" applyAlignment="1">
      <alignment horizontal="center" vertical="center"/>
    </xf>
    <xf numFmtId="2" fontId="4" fillId="0" borderId="32" xfId="0" applyNumberFormat="1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2" fontId="4" fillId="0" borderId="33" xfId="0" applyNumberFormat="1" applyFont="1" applyBorder="1" applyAlignment="1">
      <alignment horizontal="center"/>
    </xf>
    <xf numFmtId="2" fontId="4" fillId="0" borderId="32" xfId="0" applyNumberFormat="1" applyFont="1" applyBorder="1"/>
    <xf numFmtId="2" fontId="4" fillId="0" borderId="34" xfId="0" applyNumberFormat="1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0" xfId="0" applyFont="1"/>
    <xf numFmtId="0" fontId="4" fillId="0" borderId="32" xfId="0" applyFont="1" applyBorder="1" applyAlignment="1">
      <alignment horizontal="left" wrapText="1"/>
    </xf>
    <xf numFmtId="0" fontId="4" fillId="0" borderId="35" xfId="0" applyFont="1" applyBorder="1" applyAlignment="1">
      <alignment wrapText="1"/>
    </xf>
    <xf numFmtId="0" fontId="4" fillId="0" borderId="34" xfId="0" applyFont="1" applyBorder="1"/>
    <xf numFmtId="0" fontId="6" fillId="0" borderId="36" xfId="0" applyFont="1" applyBorder="1" applyAlignment="1">
      <alignment horizontal="center"/>
    </xf>
    <xf numFmtId="0" fontId="4" fillId="0" borderId="37" xfId="0" applyFont="1" applyBorder="1" applyAlignment="1">
      <alignment wrapText="1"/>
    </xf>
    <xf numFmtId="0" fontId="4" fillId="0" borderId="38" xfId="0" applyFont="1" applyBorder="1" applyAlignment="1">
      <alignment wrapText="1"/>
    </xf>
    <xf numFmtId="0" fontId="7" fillId="0" borderId="38" xfId="0" applyFont="1" applyBorder="1" applyAlignment="1">
      <alignment horizontal="left"/>
    </xf>
    <xf numFmtId="1" fontId="4" fillId="0" borderId="38" xfId="0" applyNumberFormat="1" applyFont="1" applyBorder="1" applyAlignment="1">
      <alignment horizontal="center" vertical="center"/>
    </xf>
    <xf numFmtId="2" fontId="4" fillId="0" borderId="38" xfId="0" applyNumberFormat="1" applyFont="1" applyBorder="1" applyAlignment="1">
      <alignment horizontal="center"/>
    </xf>
    <xf numFmtId="0" fontId="4" fillId="0" borderId="38" xfId="0" applyFont="1" applyBorder="1"/>
    <xf numFmtId="0" fontId="4" fillId="0" borderId="39" xfId="0" applyFont="1" applyBorder="1"/>
    <xf numFmtId="2" fontId="4" fillId="0" borderId="39" xfId="0" applyNumberFormat="1" applyFont="1" applyBorder="1" applyAlignment="1">
      <alignment horizontal="center"/>
    </xf>
    <xf numFmtId="2" fontId="4" fillId="0" borderId="38" xfId="0" applyNumberFormat="1" applyFont="1" applyBorder="1"/>
    <xf numFmtId="2" fontId="4" fillId="0" borderId="40" xfId="0" applyNumberFormat="1" applyFont="1" applyBorder="1"/>
    <xf numFmtId="0" fontId="6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wrapText="1"/>
    </xf>
    <xf numFmtId="0" fontId="1" fillId="3" borderId="7" xfId="0" applyFont="1" applyFill="1" applyBorder="1"/>
    <xf numFmtId="1" fontId="8" fillId="3" borderId="7" xfId="0" applyNumberFormat="1" applyFont="1" applyFill="1" applyBorder="1" applyAlignment="1">
      <alignment horizontal="center"/>
    </xf>
    <xf numFmtId="1" fontId="1" fillId="3" borderId="7" xfId="0" applyNumberFormat="1" applyFont="1" applyFill="1" applyBorder="1" applyAlignment="1">
      <alignment horizontal="center"/>
    </xf>
    <xf numFmtId="2" fontId="8" fillId="3" borderId="7" xfId="0" applyNumberFormat="1" applyFont="1" applyFill="1" applyBorder="1" applyAlignment="1">
      <alignment horizontal="center"/>
    </xf>
    <xf numFmtId="164" fontId="8" fillId="3" borderId="7" xfId="0" applyNumberFormat="1" applyFont="1" applyFill="1" applyBorder="1" applyAlignment="1">
      <alignment horizontal="center"/>
    </xf>
    <xf numFmtId="2" fontId="8" fillId="3" borderId="20" xfId="0" applyNumberFormat="1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/>
    </xf>
    <xf numFmtId="1" fontId="8" fillId="3" borderId="2" xfId="0" applyNumberFormat="1" applyFont="1" applyFill="1" applyBorder="1" applyAlignment="1">
      <alignment horizontal="center"/>
    </xf>
    <xf numFmtId="1" fontId="8" fillId="3" borderId="3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1" fillId="0" borderId="0" xfId="0" applyNumberFormat="1" applyFont="1"/>
    <xf numFmtId="0" fontId="1" fillId="3" borderId="9" xfId="0" applyFont="1" applyFill="1" applyBorder="1"/>
    <xf numFmtId="2" fontId="8" fillId="3" borderId="1" xfId="0" applyNumberFormat="1" applyFont="1" applyFill="1" applyBorder="1"/>
    <xf numFmtId="2" fontId="8" fillId="2" borderId="18" xfId="0" applyNumberFormat="1" applyFont="1" applyFill="1" applyBorder="1"/>
    <xf numFmtId="0" fontId="1" fillId="3" borderId="15" xfId="0" applyFont="1" applyFill="1" applyBorder="1"/>
    <xf numFmtId="0" fontId="8" fillId="3" borderId="9" xfId="0" applyFont="1" applyFill="1" applyBorder="1"/>
    <xf numFmtId="2" fontId="1" fillId="3" borderId="18" xfId="0" applyNumberFormat="1" applyFont="1" applyFill="1" applyBorder="1"/>
    <xf numFmtId="2" fontId="1" fillId="3" borderId="9" xfId="0" applyNumberFormat="1" applyFont="1" applyFill="1" applyBorder="1" applyAlignment="1">
      <alignment horizontal="center"/>
    </xf>
    <xf numFmtId="2" fontId="1" fillId="3" borderId="23" xfId="0" applyNumberFormat="1" applyFont="1" applyFill="1" applyBorder="1" applyAlignment="1">
      <alignment horizontal="center"/>
    </xf>
    <xf numFmtId="2" fontId="1" fillId="3" borderId="10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41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left"/>
    </xf>
    <xf numFmtId="0" fontId="4" fillId="3" borderId="30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1" fillId="3" borderId="5" xfId="0" applyFont="1" applyFill="1" applyBorder="1"/>
    <xf numFmtId="0" fontId="1" fillId="3" borderId="22" xfId="0" applyFont="1" applyFill="1" applyBorder="1"/>
    <xf numFmtId="0" fontId="4" fillId="3" borderId="22" xfId="0" applyFont="1" applyFill="1" applyBorder="1"/>
    <xf numFmtId="2" fontId="10" fillId="2" borderId="34" xfId="0" applyNumberFormat="1" applyFont="1" applyFill="1" applyBorder="1"/>
    <xf numFmtId="0" fontId="4" fillId="3" borderId="31" xfId="0" applyFont="1" applyFill="1" applyBorder="1" applyAlignment="1">
      <alignment horizontal="left"/>
    </xf>
    <xf numFmtId="0" fontId="4" fillId="3" borderId="42" xfId="0" applyFont="1" applyFill="1" applyBorder="1" applyAlignment="1">
      <alignment horizontal="left"/>
    </xf>
    <xf numFmtId="0" fontId="1" fillId="3" borderId="43" xfId="0" applyFont="1" applyFill="1" applyBorder="1" applyAlignment="1">
      <alignment horizontal="left"/>
    </xf>
    <xf numFmtId="0" fontId="4" fillId="3" borderId="43" xfId="0" applyFont="1" applyFill="1" applyBorder="1" applyAlignment="1">
      <alignment horizontal="left"/>
    </xf>
    <xf numFmtId="0" fontId="4" fillId="3" borderId="43" xfId="0" applyFont="1" applyFill="1" applyBorder="1" applyAlignment="1">
      <alignment horizontal="left"/>
    </xf>
    <xf numFmtId="0" fontId="1" fillId="3" borderId="43" xfId="0" applyFont="1" applyFill="1" applyBorder="1"/>
    <xf numFmtId="0" fontId="1" fillId="3" borderId="44" xfId="0" applyFont="1" applyFill="1" applyBorder="1"/>
    <xf numFmtId="0" fontId="4" fillId="3" borderId="44" xfId="0" applyFont="1" applyFill="1" applyBorder="1"/>
    <xf numFmtId="0" fontId="4" fillId="3" borderId="34" xfId="0" applyFont="1" applyFill="1" applyBorder="1"/>
    <xf numFmtId="0" fontId="1" fillId="3" borderId="31" xfId="0" applyFont="1" applyFill="1" applyBorder="1" applyAlignment="1">
      <alignment horizontal="left"/>
    </xf>
    <xf numFmtId="0" fontId="1" fillId="3" borderId="43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left"/>
    </xf>
    <xf numFmtId="0" fontId="4" fillId="3" borderId="34" xfId="0" applyFont="1" applyFill="1" applyBorder="1" applyAlignment="1">
      <alignment horizontal="left"/>
    </xf>
    <xf numFmtId="0" fontId="1" fillId="2" borderId="43" xfId="0" applyFont="1" applyFill="1" applyBorder="1" applyAlignment="1">
      <alignment horizontal="left"/>
    </xf>
    <xf numFmtId="0" fontId="1" fillId="3" borderId="13" xfId="0" applyFont="1" applyFill="1" applyBorder="1"/>
    <xf numFmtId="0" fontId="4" fillId="3" borderId="25" xfId="0" applyFont="1" applyFill="1" applyBorder="1"/>
    <xf numFmtId="0" fontId="4" fillId="3" borderId="45" xfId="0" applyFont="1" applyFill="1" applyBorder="1"/>
    <xf numFmtId="0" fontId="4" fillId="3" borderId="36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1" fillId="3" borderId="26" xfId="0" applyFont="1" applyFill="1" applyBorder="1"/>
    <xf numFmtId="0" fontId="1" fillId="3" borderId="36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1" fillId="3" borderId="25" xfId="0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167640</xdr:colOff>
      <xdr:row>1</xdr:row>
      <xdr:rowOff>68580</xdr:rowOff>
    </xdr:from>
    <xdr:to>
      <xdr:col>1</xdr:col>
      <xdr:colOff>1485900</xdr:colOff>
      <xdr:row>2</xdr:row>
      <xdr:rowOff>373380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C69A701-8234-4714-AB32-EEF6E6929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243840"/>
          <a:ext cx="118110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5AB3-24FE-4DCF-A320-F5BB541D5C09}">
  <dimension ref="A1:Q60"/>
  <sheetViews>
    <sheetView tabSelected="1" topLeftCell="A10" zoomScale="48" workbookViewId="0">
      <selection activeCell="AD22" sqref="AD22"/>
    </sheetView>
  </sheetViews>
  <sheetFormatPr defaultColWidth="9.109375" defaultRowHeight="13.2" x14ac:dyDescent="0.25"/>
  <cols>
    <col min="1" max="1" width="6.5546875" style="4" customWidth="1"/>
    <col min="2" max="2" width="19.6640625" style="4" customWidth="1"/>
    <col min="3" max="3" width="27.44140625" style="4" customWidth="1"/>
    <col min="4" max="4" width="9.44140625" style="4" customWidth="1"/>
    <col min="5" max="5" width="13.109375" style="4" customWidth="1"/>
    <col min="6" max="6" width="7.5546875" style="4" customWidth="1"/>
    <col min="7" max="7" width="8.5546875" style="4" customWidth="1"/>
    <col min="8" max="8" width="9.5546875" style="4" bestFit="1" customWidth="1"/>
    <col min="9" max="9" width="11.6640625" style="4" customWidth="1"/>
    <col min="10" max="11" width="9.5546875" style="4" customWidth="1"/>
    <col min="12" max="12" width="10.5546875" style="4" customWidth="1"/>
    <col min="13" max="13" width="24" style="4" customWidth="1"/>
    <col min="14" max="14" width="12.5546875" style="4" customWidth="1"/>
    <col min="15" max="15" width="15.44140625" style="4" customWidth="1"/>
    <col min="16" max="256" width="9.109375" style="4"/>
    <col min="257" max="257" width="6.5546875" style="4" customWidth="1"/>
    <col min="258" max="258" width="19.6640625" style="4" customWidth="1"/>
    <col min="259" max="259" width="27.44140625" style="4" customWidth="1"/>
    <col min="260" max="260" width="9.44140625" style="4" customWidth="1"/>
    <col min="261" max="261" width="13.109375" style="4" customWidth="1"/>
    <col min="262" max="262" width="7.5546875" style="4" customWidth="1"/>
    <col min="263" max="263" width="8.5546875" style="4" customWidth="1"/>
    <col min="264" max="264" width="9.5546875" style="4" bestFit="1" customWidth="1"/>
    <col min="265" max="265" width="11.6640625" style="4" customWidth="1"/>
    <col min="266" max="267" width="9.5546875" style="4" customWidth="1"/>
    <col min="268" max="268" width="10.5546875" style="4" customWidth="1"/>
    <col min="269" max="269" width="24" style="4" customWidth="1"/>
    <col min="270" max="270" width="12.5546875" style="4" customWidth="1"/>
    <col min="271" max="271" width="15.44140625" style="4" customWidth="1"/>
    <col min="272" max="512" width="9.109375" style="4"/>
    <col min="513" max="513" width="6.5546875" style="4" customWidth="1"/>
    <col min="514" max="514" width="19.6640625" style="4" customWidth="1"/>
    <col min="515" max="515" width="27.44140625" style="4" customWidth="1"/>
    <col min="516" max="516" width="9.44140625" style="4" customWidth="1"/>
    <col min="517" max="517" width="13.109375" style="4" customWidth="1"/>
    <col min="518" max="518" width="7.5546875" style="4" customWidth="1"/>
    <col min="519" max="519" width="8.5546875" style="4" customWidth="1"/>
    <col min="520" max="520" width="9.5546875" style="4" bestFit="1" customWidth="1"/>
    <col min="521" max="521" width="11.6640625" style="4" customWidth="1"/>
    <col min="522" max="523" width="9.5546875" style="4" customWidth="1"/>
    <col min="524" max="524" width="10.5546875" style="4" customWidth="1"/>
    <col min="525" max="525" width="24" style="4" customWidth="1"/>
    <col min="526" max="526" width="12.5546875" style="4" customWidth="1"/>
    <col min="527" max="527" width="15.44140625" style="4" customWidth="1"/>
    <col min="528" max="768" width="9.109375" style="4"/>
    <col min="769" max="769" width="6.5546875" style="4" customWidth="1"/>
    <col min="770" max="770" width="19.6640625" style="4" customWidth="1"/>
    <col min="771" max="771" width="27.44140625" style="4" customWidth="1"/>
    <col min="772" max="772" width="9.44140625" style="4" customWidth="1"/>
    <col min="773" max="773" width="13.109375" style="4" customWidth="1"/>
    <col min="774" max="774" width="7.5546875" style="4" customWidth="1"/>
    <col min="775" max="775" width="8.5546875" style="4" customWidth="1"/>
    <col min="776" max="776" width="9.5546875" style="4" bestFit="1" customWidth="1"/>
    <col min="777" max="777" width="11.6640625" style="4" customWidth="1"/>
    <col min="778" max="779" width="9.5546875" style="4" customWidth="1"/>
    <col min="780" max="780" width="10.5546875" style="4" customWidth="1"/>
    <col min="781" max="781" width="24" style="4" customWidth="1"/>
    <col min="782" max="782" width="12.5546875" style="4" customWidth="1"/>
    <col min="783" max="783" width="15.44140625" style="4" customWidth="1"/>
    <col min="784" max="1024" width="9.109375" style="4"/>
    <col min="1025" max="1025" width="6.5546875" style="4" customWidth="1"/>
    <col min="1026" max="1026" width="19.6640625" style="4" customWidth="1"/>
    <col min="1027" max="1027" width="27.44140625" style="4" customWidth="1"/>
    <col min="1028" max="1028" width="9.44140625" style="4" customWidth="1"/>
    <col min="1029" max="1029" width="13.109375" style="4" customWidth="1"/>
    <col min="1030" max="1030" width="7.5546875" style="4" customWidth="1"/>
    <col min="1031" max="1031" width="8.5546875" style="4" customWidth="1"/>
    <col min="1032" max="1032" width="9.5546875" style="4" bestFit="1" customWidth="1"/>
    <col min="1033" max="1033" width="11.6640625" style="4" customWidth="1"/>
    <col min="1034" max="1035" width="9.5546875" style="4" customWidth="1"/>
    <col min="1036" max="1036" width="10.5546875" style="4" customWidth="1"/>
    <col min="1037" max="1037" width="24" style="4" customWidth="1"/>
    <col min="1038" max="1038" width="12.5546875" style="4" customWidth="1"/>
    <col min="1039" max="1039" width="15.44140625" style="4" customWidth="1"/>
    <col min="1040" max="1280" width="9.109375" style="4"/>
    <col min="1281" max="1281" width="6.5546875" style="4" customWidth="1"/>
    <col min="1282" max="1282" width="19.6640625" style="4" customWidth="1"/>
    <col min="1283" max="1283" width="27.44140625" style="4" customWidth="1"/>
    <col min="1284" max="1284" width="9.44140625" style="4" customWidth="1"/>
    <col min="1285" max="1285" width="13.109375" style="4" customWidth="1"/>
    <col min="1286" max="1286" width="7.5546875" style="4" customWidth="1"/>
    <col min="1287" max="1287" width="8.5546875" style="4" customWidth="1"/>
    <col min="1288" max="1288" width="9.5546875" style="4" bestFit="1" customWidth="1"/>
    <col min="1289" max="1289" width="11.6640625" style="4" customWidth="1"/>
    <col min="1290" max="1291" width="9.5546875" style="4" customWidth="1"/>
    <col min="1292" max="1292" width="10.5546875" style="4" customWidth="1"/>
    <col min="1293" max="1293" width="24" style="4" customWidth="1"/>
    <col min="1294" max="1294" width="12.5546875" style="4" customWidth="1"/>
    <col min="1295" max="1295" width="15.44140625" style="4" customWidth="1"/>
    <col min="1296" max="1536" width="9.109375" style="4"/>
    <col min="1537" max="1537" width="6.5546875" style="4" customWidth="1"/>
    <col min="1538" max="1538" width="19.6640625" style="4" customWidth="1"/>
    <col min="1539" max="1539" width="27.44140625" style="4" customWidth="1"/>
    <col min="1540" max="1540" width="9.44140625" style="4" customWidth="1"/>
    <col min="1541" max="1541" width="13.109375" style="4" customWidth="1"/>
    <col min="1542" max="1542" width="7.5546875" style="4" customWidth="1"/>
    <col min="1543" max="1543" width="8.5546875" style="4" customWidth="1"/>
    <col min="1544" max="1544" width="9.5546875" style="4" bestFit="1" customWidth="1"/>
    <col min="1545" max="1545" width="11.6640625" style="4" customWidth="1"/>
    <col min="1546" max="1547" width="9.5546875" style="4" customWidth="1"/>
    <col min="1548" max="1548" width="10.5546875" style="4" customWidth="1"/>
    <col min="1549" max="1549" width="24" style="4" customWidth="1"/>
    <col min="1550" max="1550" width="12.5546875" style="4" customWidth="1"/>
    <col min="1551" max="1551" width="15.44140625" style="4" customWidth="1"/>
    <col min="1552" max="1792" width="9.109375" style="4"/>
    <col min="1793" max="1793" width="6.5546875" style="4" customWidth="1"/>
    <col min="1794" max="1794" width="19.6640625" style="4" customWidth="1"/>
    <col min="1795" max="1795" width="27.44140625" style="4" customWidth="1"/>
    <col min="1796" max="1796" width="9.44140625" style="4" customWidth="1"/>
    <col min="1797" max="1797" width="13.109375" style="4" customWidth="1"/>
    <col min="1798" max="1798" width="7.5546875" style="4" customWidth="1"/>
    <col min="1799" max="1799" width="8.5546875" style="4" customWidth="1"/>
    <col min="1800" max="1800" width="9.5546875" style="4" bestFit="1" customWidth="1"/>
    <col min="1801" max="1801" width="11.6640625" style="4" customWidth="1"/>
    <col min="1802" max="1803" width="9.5546875" style="4" customWidth="1"/>
    <col min="1804" max="1804" width="10.5546875" style="4" customWidth="1"/>
    <col min="1805" max="1805" width="24" style="4" customWidth="1"/>
    <col min="1806" max="1806" width="12.5546875" style="4" customWidth="1"/>
    <col min="1807" max="1807" width="15.44140625" style="4" customWidth="1"/>
    <col min="1808" max="2048" width="9.109375" style="4"/>
    <col min="2049" max="2049" width="6.5546875" style="4" customWidth="1"/>
    <col min="2050" max="2050" width="19.6640625" style="4" customWidth="1"/>
    <col min="2051" max="2051" width="27.44140625" style="4" customWidth="1"/>
    <col min="2052" max="2052" width="9.44140625" style="4" customWidth="1"/>
    <col min="2053" max="2053" width="13.109375" style="4" customWidth="1"/>
    <col min="2054" max="2054" width="7.5546875" style="4" customWidth="1"/>
    <col min="2055" max="2055" width="8.5546875" style="4" customWidth="1"/>
    <col min="2056" max="2056" width="9.5546875" style="4" bestFit="1" customWidth="1"/>
    <col min="2057" max="2057" width="11.6640625" style="4" customWidth="1"/>
    <col min="2058" max="2059" width="9.5546875" style="4" customWidth="1"/>
    <col min="2060" max="2060" width="10.5546875" style="4" customWidth="1"/>
    <col min="2061" max="2061" width="24" style="4" customWidth="1"/>
    <col min="2062" max="2062" width="12.5546875" style="4" customWidth="1"/>
    <col min="2063" max="2063" width="15.44140625" style="4" customWidth="1"/>
    <col min="2064" max="2304" width="9.109375" style="4"/>
    <col min="2305" max="2305" width="6.5546875" style="4" customWidth="1"/>
    <col min="2306" max="2306" width="19.6640625" style="4" customWidth="1"/>
    <col min="2307" max="2307" width="27.44140625" style="4" customWidth="1"/>
    <col min="2308" max="2308" width="9.44140625" style="4" customWidth="1"/>
    <col min="2309" max="2309" width="13.109375" style="4" customWidth="1"/>
    <col min="2310" max="2310" width="7.5546875" style="4" customWidth="1"/>
    <col min="2311" max="2311" width="8.5546875" style="4" customWidth="1"/>
    <col min="2312" max="2312" width="9.5546875" style="4" bestFit="1" customWidth="1"/>
    <col min="2313" max="2313" width="11.6640625" style="4" customWidth="1"/>
    <col min="2314" max="2315" width="9.5546875" style="4" customWidth="1"/>
    <col min="2316" max="2316" width="10.5546875" style="4" customWidth="1"/>
    <col min="2317" max="2317" width="24" style="4" customWidth="1"/>
    <col min="2318" max="2318" width="12.5546875" style="4" customWidth="1"/>
    <col min="2319" max="2319" width="15.44140625" style="4" customWidth="1"/>
    <col min="2320" max="2560" width="9.109375" style="4"/>
    <col min="2561" max="2561" width="6.5546875" style="4" customWidth="1"/>
    <col min="2562" max="2562" width="19.6640625" style="4" customWidth="1"/>
    <col min="2563" max="2563" width="27.44140625" style="4" customWidth="1"/>
    <col min="2564" max="2564" width="9.44140625" style="4" customWidth="1"/>
    <col min="2565" max="2565" width="13.109375" style="4" customWidth="1"/>
    <col min="2566" max="2566" width="7.5546875" style="4" customWidth="1"/>
    <col min="2567" max="2567" width="8.5546875" style="4" customWidth="1"/>
    <col min="2568" max="2568" width="9.5546875" style="4" bestFit="1" customWidth="1"/>
    <col min="2569" max="2569" width="11.6640625" style="4" customWidth="1"/>
    <col min="2570" max="2571" width="9.5546875" style="4" customWidth="1"/>
    <col min="2572" max="2572" width="10.5546875" style="4" customWidth="1"/>
    <col min="2573" max="2573" width="24" style="4" customWidth="1"/>
    <col min="2574" max="2574" width="12.5546875" style="4" customWidth="1"/>
    <col min="2575" max="2575" width="15.44140625" style="4" customWidth="1"/>
    <col min="2576" max="2816" width="9.109375" style="4"/>
    <col min="2817" max="2817" width="6.5546875" style="4" customWidth="1"/>
    <col min="2818" max="2818" width="19.6640625" style="4" customWidth="1"/>
    <col min="2819" max="2819" width="27.44140625" style="4" customWidth="1"/>
    <col min="2820" max="2820" width="9.44140625" style="4" customWidth="1"/>
    <col min="2821" max="2821" width="13.109375" style="4" customWidth="1"/>
    <col min="2822" max="2822" width="7.5546875" style="4" customWidth="1"/>
    <col min="2823" max="2823" width="8.5546875" style="4" customWidth="1"/>
    <col min="2824" max="2824" width="9.5546875" style="4" bestFit="1" customWidth="1"/>
    <col min="2825" max="2825" width="11.6640625" style="4" customWidth="1"/>
    <col min="2826" max="2827" width="9.5546875" style="4" customWidth="1"/>
    <col min="2828" max="2828" width="10.5546875" style="4" customWidth="1"/>
    <col min="2829" max="2829" width="24" style="4" customWidth="1"/>
    <col min="2830" max="2830" width="12.5546875" style="4" customWidth="1"/>
    <col min="2831" max="2831" width="15.44140625" style="4" customWidth="1"/>
    <col min="2832" max="3072" width="9.109375" style="4"/>
    <col min="3073" max="3073" width="6.5546875" style="4" customWidth="1"/>
    <col min="3074" max="3074" width="19.6640625" style="4" customWidth="1"/>
    <col min="3075" max="3075" width="27.44140625" style="4" customWidth="1"/>
    <col min="3076" max="3076" width="9.44140625" style="4" customWidth="1"/>
    <col min="3077" max="3077" width="13.109375" style="4" customWidth="1"/>
    <col min="3078" max="3078" width="7.5546875" style="4" customWidth="1"/>
    <col min="3079" max="3079" width="8.5546875" style="4" customWidth="1"/>
    <col min="3080" max="3080" width="9.5546875" style="4" bestFit="1" customWidth="1"/>
    <col min="3081" max="3081" width="11.6640625" style="4" customWidth="1"/>
    <col min="3082" max="3083" width="9.5546875" style="4" customWidth="1"/>
    <col min="3084" max="3084" width="10.5546875" style="4" customWidth="1"/>
    <col min="3085" max="3085" width="24" style="4" customWidth="1"/>
    <col min="3086" max="3086" width="12.5546875" style="4" customWidth="1"/>
    <col min="3087" max="3087" width="15.44140625" style="4" customWidth="1"/>
    <col min="3088" max="3328" width="9.109375" style="4"/>
    <col min="3329" max="3329" width="6.5546875" style="4" customWidth="1"/>
    <col min="3330" max="3330" width="19.6640625" style="4" customWidth="1"/>
    <col min="3331" max="3331" width="27.44140625" style="4" customWidth="1"/>
    <col min="3332" max="3332" width="9.44140625" style="4" customWidth="1"/>
    <col min="3333" max="3333" width="13.109375" style="4" customWidth="1"/>
    <col min="3334" max="3334" width="7.5546875" style="4" customWidth="1"/>
    <col min="3335" max="3335" width="8.5546875" style="4" customWidth="1"/>
    <col min="3336" max="3336" width="9.5546875" style="4" bestFit="1" customWidth="1"/>
    <col min="3337" max="3337" width="11.6640625" style="4" customWidth="1"/>
    <col min="3338" max="3339" width="9.5546875" style="4" customWidth="1"/>
    <col min="3340" max="3340" width="10.5546875" style="4" customWidth="1"/>
    <col min="3341" max="3341" width="24" style="4" customWidth="1"/>
    <col min="3342" max="3342" width="12.5546875" style="4" customWidth="1"/>
    <col min="3343" max="3343" width="15.44140625" style="4" customWidth="1"/>
    <col min="3344" max="3584" width="9.109375" style="4"/>
    <col min="3585" max="3585" width="6.5546875" style="4" customWidth="1"/>
    <col min="3586" max="3586" width="19.6640625" style="4" customWidth="1"/>
    <col min="3587" max="3587" width="27.44140625" style="4" customWidth="1"/>
    <col min="3588" max="3588" width="9.44140625" style="4" customWidth="1"/>
    <col min="3589" max="3589" width="13.109375" style="4" customWidth="1"/>
    <col min="3590" max="3590" width="7.5546875" style="4" customWidth="1"/>
    <col min="3591" max="3591" width="8.5546875" style="4" customWidth="1"/>
    <col min="3592" max="3592" width="9.5546875" style="4" bestFit="1" customWidth="1"/>
    <col min="3593" max="3593" width="11.6640625" style="4" customWidth="1"/>
    <col min="3594" max="3595" width="9.5546875" style="4" customWidth="1"/>
    <col min="3596" max="3596" width="10.5546875" style="4" customWidth="1"/>
    <col min="3597" max="3597" width="24" style="4" customWidth="1"/>
    <col min="3598" max="3598" width="12.5546875" style="4" customWidth="1"/>
    <col min="3599" max="3599" width="15.44140625" style="4" customWidth="1"/>
    <col min="3600" max="3840" width="9.109375" style="4"/>
    <col min="3841" max="3841" width="6.5546875" style="4" customWidth="1"/>
    <col min="3842" max="3842" width="19.6640625" style="4" customWidth="1"/>
    <col min="3843" max="3843" width="27.44140625" style="4" customWidth="1"/>
    <col min="3844" max="3844" width="9.44140625" style="4" customWidth="1"/>
    <col min="3845" max="3845" width="13.109375" style="4" customWidth="1"/>
    <col min="3846" max="3846" width="7.5546875" style="4" customWidth="1"/>
    <col min="3847" max="3847" width="8.5546875" style="4" customWidth="1"/>
    <col min="3848" max="3848" width="9.5546875" style="4" bestFit="1" customWidth="1"/>
    <col min="3849" max="3849" width="11.6640625" style="4" customWidth="1"/>
    <col min="3850" max="3851" width="9.5546875" style="4" customWidth="1"/>
    <col min="3852" max="3852" width="10.5546875" style="4" customWidth="1"/>
    <col min="3853" max="3853" width="24" style="4" customWidth="1"/>
    <col min="3854" max="3854" width="12.5546875" style="4" customWidth="1"/>
    <col min="3855" max="3855" width="15.44140625" style="4" customWidth="1"/>
    <col min="3856" max="4096" width="9.109375" style="4"/>
    <col min="4097" max="4097" width="6.5546875" style="4" customWidth="1"/>
    <col min="4098" max="4098" width="19.6640625" style="4" customWidth="1"/>
    <col min="4099" max="4099" width="27.44140625" style="4" customWidth="1"/>
    <col min="4100" max="4100" width="9.44140625" style="4" customWidth="1"/>
    <col min="4101" max="4101" width="13.109375" style="4" customWidth="1"/>
    <col min="4102" max="4102" width="7.5546875" style="4" customWidth="1"/>
    <col min="4103" max="4103" width="8.5546875" style="4" customWidth="1"/>
    <col min="4104" max="4104" width="9.5546875" style="4" bestFit="1" customWidth="1"/>
    <col min="4105" max="4105" width="11.6640625" style="4" customWidth="1"/>
    <col min="4106" max="4107" width="9.5546875" style="4" customWidth="1"/>
    <col min="4108" max="4108" width="10.5546875" style="4" customWidth="1"/>
    <col min="4109" max="4109" width="24" style="4" customWidth="1"/>
    <col min="4110" max="4110" width="12.5546875" style="4" customWidth="1"/>
    <col min="4111" max="4111" width="15.44140625" style="4" customWidth="1"/>
    <col min="4112" max="4352" width="9.109375" style="4"/>
    <col min="4353" max="4353" width="6.5546875" style="4" customWidth="1"/>
    <col min="4354" max="4354" width="19.6640625" style="4" customWidth="1"/>
    <col min="4355" max="4355" width="27.44140625" style="4" customWidth="1"/>
    <col min="4356" max="4356" width="9.44140625" style="4" customWidth="1"/>
    <col min="4357" max="4357" width="13.109375" style="4" customWidth="1"/>
    <col min="4358" max="4358" width="7.5546875" style="4" customWidth="1"/>
    <col min="4359" max="4359" width="8.5546875" style="4" customWidth="1"/>
    <col min="4360" max="4360" width="9.5546875" style="4" bestFit="1" customWidth="1"/>
    <col min="4361" max="4361" width="11.6640625" style="4" customWidth="1"/>
    <col min="4362" max="4363" width="9.5546875" style="4" customWidth="1"/>
    <col min="4364" max="4364" width="10.5546875" style="4" customWidth="1"/>
    <col min="4365" max="4365" width="24" style="4" customWidth="1"/>
    <col min="4366" max="4366" width="12.5546875" style="4" customWidth="1"/>
    <col min="4367" max="4367" width="15.44140625" style="4" customWidth="1"/>
    <col min="4368" max="4608" width="9.109375" style="4"/>
    <col min="4609" max="4609" width="6.5546875" style="4" customWidth="1"/>
    <col min="4610" max="4610" width="19.6640625" style="4" customWidth="1"/>
    <col min="4611" max="4611" width="27.44140625" style="4" customWidth="1"/>
    <col min="4612" max="4612" width="9.44140625" style="4" customWidth="1"/>
    <col min="4613" max="4613" width="13.109375" style="4" customWidth="1"/>
    <col min="4614" max="4614" width="7.5546875" style="4" customWidth="1"/>
    <col min="4615" max="4615" width="8.5546875" style="4" customWidth="1"/>
    <col min="4616" max="4616" width="9.5546875" style="4" bestFit="1" customWidth="1"/>
    <col min="4617" max="4617" width="11.6640625" style="4" customWidth="1"/>
    <col min="4618" max="4619" width="9.5546875" style="4" customWidth="1"/>
    <col min="4620" max="4620" width="10.5546875" style="4" customWidth="1"/>
    <col min="4621" max="4621" width="24" style="4" customWidth="1"/>
    <col min="4622" max="4622" width="12.5546875" style="4" customWidth="1"/>
    <col min="4623" max="4623" width="15.44140625" style="4" customWidth="1"/>
    <col min="4624" max="4864" width="9.109375" style="4"/>
    <col min="4865" max="4865" width="6.5546875" style="4" customWidth="1"/>
    <col min="4866" max="4866" width="19.6640625" style="4" customWidth="1"/>
    <col min="4867" max="4867" width="27.44140625" style="4" customWidth="1"/>
    <col min="4868" max="4868" width="9.44140625" style="4" customWidth="1"/>
    <col min="4869" max="4869" width="13.109375" style="4" customWidth="1"/>
    <col min="4870" max="4870" width="7.5546875" style="4" customWidth="1"/>
    <col min="4871" max="4871" width="8.5546875" style="4" customWidth="1"/>
    <col min="4872" max="4872" width="9.5546875" style="4" bestFit="1" customWidth="1"/>
    <col min="4873" max="4873" width="11.6640625" style="4" customWidth="1"/>
    <col min="4874" max="4875" width="9.5546875" style="4" customWidth="1"/>
    <col min="4876" max="4876" width="10.5546875" style="4" customWidth="1"/>
    <col min="4877" max="4877" width="24" style="4" customWidth="1"/>
    <col min="4878" max="4878" width="12.5546875" style="4" customWidth="1"/>
    <col min="4879" max="4879" width="15.44140625" style="4" customWidth="1"/>
    <col min="4880" max="5120" width="9.109375" style="4"/>
    <col min="5121" max="5121" width="6.5546875" style="4" customWidth="1"/>
    <col min="5122" max="5122" width="19.6640625" style="4" customWidth="1"/>
    <col min="5123" max="5123" width="27.44140625" style="4" customWidth="1"/>
    <col min="5124" max="5124" width="9.44140625" style="4" customWidth="1"/>
    <col min="5125" max="5125" width="13.109375" style="4" customWidth="1"/>
    <col min="5126" max="5126" width="7.5546875" style="4" customWidth="1"/>
    <col min="5127" max="5127" width="8.5546875" style="4" customWidth="1"/>
    <col min="5128" max="5128" width="9.5546875" style="4" bestFit="1" customWidth="1"/>
    <col min="5129" max="5129" width="11.6640625" style="4" customWidth="1"/>
    <col min="5130" max="5131" width="9.5546875" style="4" customWidth="1"/>
    <col min="5132" max="5132" width="10.5546875" style="4" customWidth="1"/>
    <col min="5133" max="5133" width="24" style="4" customWidth="1"/>
    <col min="5134" max="5134" width="12.5546875" style="4" customWidth="1"/>
    <col min="5135" max="5135" width="15.44140625" style="4" customWidth="1"/>
    <col min="5136" max="5376" width="9.109375" style="4"/>
    <col min="5377" max="5377" width="6.5546875" style="4" customWidth="1"/>
    <col min="5378" max="5378" width="19.6640625" style="4" customWidth="1"/>
    <col min="5379" max="5379" width="27.44140625" style="4" customWidth="1"/>
    <col min="5380" max="5380" width="9.44140625" style="4" customWidth="1"/>
    <col min="5381" max="5381" width="13.109375" style="4" customWidth="1"/>
    <col min="5382" max="5382" width="7.5546875" style="4" customWidth="1"/>
    <col min="5383" max="5383" width="8.5546875" style="4" customWidth="1"/>
    <col min="5384" max="5384" width="9.5546875" style="4" bestFit="1" customWidth="1"/>
    <col min="5385" max="5385" width="11.6640625" style="4" customWidth="1"/>
    <col min="5386" max="5387" width="9.5546875" style="4" customWidth="1"/>
    <col min="5388" max="5388" width="10.5546875" style="4" customWidth="1"/>
    <col min="5389" max="5389" width="24" style="4" customWidth="1"/>
    <col min="5390" max="5390" width="12.5546875" style="4" customWidth="1"/>
    <col min="5391" max="5391" width="15.44140625" style="4" customWidth="1"/>
    <col min="5392" max="5632" width="9.109375" style="4"/>
    <col min="5633" max="5633" width="6.5546875" style="4" customWidth="1"/>
    <col min="5634" max="5634" width="19.6640625" style="4" customWidth="1"/>
    <col min="5635" max="5635" width="27.44140625" style="4" customWidth="1"/>
    <col min="5636" max="5636" width="9.44140625" style="4" customWidth="1"/>
    <col min="5637" max="5637" width="13.109375" style="4" customWidth="1"/>
    <col min="5638" max="5638" width="7.5546875" style="4" customWidth="1"/>
    <col min="5639" max="5639" width="8.5546875" style="4" customWidth="1"/>
    <col min="5640" max="5640" width="9.5546875" style="4" bestFit="1" customWidth="1"/>
    <col min="5641" max="5641" width="11.6640625" style="4" customWidth="1"/>
    <col min="5642" max="5643" width="9.5546875" style="4" customWidth="1"/>
    <col min="5644" max="5644" width="10.5546875" style="4" customWidth="1"/>
    <col min="5645" max="5645" width="24" style="4" customWidth="1"/>
    <col min="5646" max="5646" width="12.5546875" style="4" customWidth="1"/>
    <col min="5647" max="5647" width="15.44140625" style="4" customWidth="1"/>
    <col min="5648" max="5888" width="9.109375" style="4"/>
    <col min="5889" max="5889" width="6.5546875" style="4" customWidth="1"/>
    <col min="5890" max="5890" width="19.6640625" style="4" customWidth="1"/>
    <col min="5891" max="5891" width="27.44140625" style="4" customWidth="1"/>
    <col min="5892" max="5892" width="9.44140625" style="4" customWidth="1"/>
    <col min="5893" max="5893" width="13.109375" style="4" customWidth="1"/>
    <col min="5894" max="5894" width="7.5546875" style="4" customWidth="1"/>
    <col min="5895" max="5895" width="8.5546875" style="4" customWidth="1"/>
    <col min="5896" max="5896" width="9.5546875" style="4" bestFit="1" customWidth="1"/>
    <col min="5897" max="5897" width="11.6640625" style="4" customWidth="1"/>
    <col min="5898" max="5899" width="9.5546875" style="4" customWidth="1"/>
    <col min="5900" max="5900" width="10.5546875" style="4" customWidth="1"/>
    <col min="5901" max="5901" width="24" style="4" customWidth="1"/>
    <col min="5902" max="5902" width="12.5546875" style="4" customWidth="1"/>
    <col min="5903" max="5903" width="15.44140625" style="4" customWidth="1"/>
    <col min="5904" max="6144" width="9.109375" style="4"/>
    <col min="6145" max="6145" width="6.5546875" style="4" customWidth="1"/>
    <col min="6146" max="6146" width="19.6640625" style="4" customWidth="1"/>
    <col min="6147" max="6147" width="27.44140625" style="4" customWidth="1"/>
    <col min="6148" max="6148" width="9.44140625" style="4" customWidth="1"/>
    <col min="6149" max="6149" width="13.109375" style="4" customWidth="1"/>
    <col min="6150" max="6150" width="7.5546875" style="4" customWidth="1"/>
    <col min="6151" max="6151" width="8.5546875" style="4" customWidth="1"/>
    <col min="6152" max="6152" width="9.5546875" style="4" bestFit="1" customWidth="1"/>
    <col min="6153" max="6153" width="11.6640625" style="4" customWidth="1"/>
    <col min="6154" max="6155" width="9.5546875" style="4" customWidth="1"/>
    <col min="6156" max="6156" width="10.5546875" style="4" customWidth="1"/>
    <col min="6157" max="6157" width="24" style="4" customWidth="1"/>
    <col min="6158" max="6158" width="12.5546875" style="4" customWidth="1"/>
    <col min="6159" max="6159" width="15.44140625" style="4" customWidth="1"/>
    <col min="6160" max="6400" width="9.109375" style="4"/>
    <col min="6401" max="6401" width="6.5546875" style="4" customWidth="1"/>
    <col min="6402" max="6402" width="19.6640625" style="4" customWidth="1"/>
    <col min="6403" max="6403" width="27.44140625" style="4" customWidth="1"/>
    <col min="6404" max="6404" width="9.44140625" style="4" customWidth="1"/>
    <col min="6405" max="6405" width="13.109375" style="4" customWidth="1"/>
    <col min="6406" max="6406" width="7.5546875" style="4" customWidth="1"/>
    <col min="6407" max="6407" width="8.5546875" style="4" customWidth="1"/>
    <col min="6408" max="6408" width="9.5546875" style="4" bestFit="1" customWidth="1"/>
    <col min="6409" max="6409" width="11.6640625" style="4" customWidth="1"/>
    <col min="6410" max="6411" width="9.5546875" style="4" customWidth="1"/>
    <col min="6412" max="6412" width="10.5546875" style="4" customWidth="1"/>
    <col min="6413" max="6413" width="24" style="4" customWidth="1"/>
    <col min="6414" max="6414" width="12.5546875" style="4" customWidth="1"/>
    <col min="6415" max="6415" width="15.44140625" style="4" customWidth="1"/>
    <col min="6416" max="6656" width="9.109375" style="4"/>
    <col min="6657" max="6657" width="6.5546875" style="4" customWidth="1"/>
    <col min="6658" max="6658" width="19.6640625" style="4" customWidth="1"/>
    <col min="6659" max="6659" width="27.44140625" style="4" customWidth="1"/>
    <col min="6660" max="6660" width="9.44140625" style="4" customWidth="1"/>
    <col min="6661" max="6661" width="13.109375" style="4" customWidth="1"/>
    <col min="6662" max="6662" width="7.5546875" style="4" customWidth="1"/>
    <col min="6663" max="6663" width="8.5546875" style="4" customWidth="1"/>
    <col min="6664" max="6664" width="9.5546875" style="4" bestFit="1" customWidth="1"/>
    <col min="6665" max="6665" width="11.6640625" style="4" customWidth="1"/>
    <col min="6666" max="6667" width="9.5546875" style="4" customWidth="1"/>
    <col min="6668" max="6668" width="10.5546875" style="4" customWidth="1"/>
    <col min="6669" max="6669" width="24" style="4" customWidth="1"/>
    <col min="6670" max="6670" width="12.5546875" style="4" customWidth="1"/>
    <col min="6671" max="6671" width="15.44140625" style="4" customWidth="1"/>
    <col min="6672" max="6912" width="9.109375" style="4"/>
    <col min="6913" max="6913" width="6.5546875" style="4" customWidth="1"/>
    <col min="6914" max="6914" width="19.6640625" style="4" customWidth="1"/>
    <col min="6915" max="6915" width="27.44140625" style="4" customWidth="1"/>
    <col min="6916" max="6916" width="9.44140625" style="4" customWidth="1"/>
    <col min="6917" max="6917" width="13.109375" style="4" customWidth="1"/>
    <col min="6918" max="6918" width="7.5546875" style="4" customWidth="1"/>
    <col min="6919" max="6919" width="8.5546875" style="4" customWidth="1"/>
    <col min="6920" max="6920" width="9.5546875" style="4" bestFit="1" customWidth="1"/>
    <col min="6921" max="6921" width="11.6640625" style="4" customWidth="1"/>
    <col min="6922" max="6923" width="9.5546875" style="4" customWidth="1"/>
    <col min="6924" max="6924" width="10.5546875" style="4" customWidth="1"/>
    <col min="6925" max="6925" width="24" style="4" customWidth="1"/>
    <col min="6926" max="6926" width="12.5546875" style="4" customWidth="1"/>
    <col min="6927" max="6927" width="15.44140625" style="4" customWidth="1"/>
    <col min="6928" max="7168" width="9.109375" style="4"/>
    <col min="7169" max="7169" width="6.5546875" style="4" customWidth="1"/>
    <col min="7170" max="7170" width="19.6640625" style="4" customWidth="1"/>
    <col min="7171" max="7171" width="27.44140625" style="4" customWidth="1"/>
    <col min="7172" max="7172" width="9.44140625" style="4" customWidth="1"/>
    <col min="7173" max="7173" width="13.109375" style="4" customWidth="1"/>
    <col min="7174" max="7174" width="7.5546875" style="4" customWidth="1"/>
    <col min="7175" max="7175" width="8.5546875" style="4" customWidth="1"/>
    <col min="7176" max="7176" width="9.5546875" style="4" bestFit="1" customWidth="1"/>
    <col min="7177" max="7177" width="11.6640625" style="4" customWidth="1"/>
    <col min="7178" max="7179" width="9.5546875" style="4" customWidth="1"/>
    <col min="7180" max="7180" width="10.5546875" style="4" customWidth="1"/>
    <col min="7181" max="7181" width="24" style="4" customWidth="1"/>
    <col min="7182" max="7182" width="12.5546875" style="4" customWidth="1"/>
    <col min="7183" max="7183" width="15.44140625" style="4" customWidth="1"/>
    <col min="7184" max="7424" width="9.109375" style="4"/>
    <col min="7425" max="7425" width="6.5546875" style="4" customWidth="1"/>
    <col min="7426" max="7426" width="19.6640625" style="4" customWidth="1"/>
    <col min="7427" max="7427" width="27.44140625" style="4" customWidth="1"/>
    <col min="7428" max="7428" width="9.44140625" style="4" customWidth="1"/>
    <col min="7429" max="7429" width="13.109375" style="4" customWidth="1"/>
    <col min="7430" max="7430" width="7.5546875" style="4" customWidth="1"/>
    <col min="7431" max="7431" width="8.5546875" style="4" customWidth="1"/>
    <col min="7432" max="7432" width="9.5546875" style="4" bestFit="1" customWidth="1"/>
    <col min="7433" max="7433" width="11.6640625" style="4" customWidth="1"/>
    <col min="7434" max="7435" width="9.5546875" style="4" customWidth="1"/>
    <col min="7436" max="7436" width="10.5546875" style="4" customWidth="1"/>
    <col min="7437" max="7437" width="24" style="4" customWidth="1"/>
    <col min="7438" max="7438" width="12.5546875" style="4" customWidth="1"/>
    <col min="7439" max="7439" width="15.44140625" style="4" customWidth="1"/>
    <col min="7440" max="7680" width="9.109375" style="4"/>
    <col min="7681" max="7681" width="6.5546875" style="4" customWidth="1"/>
    <col min="7682" max="7682" width="19.6640625" style="4" customWidth="1"/>
    <col min="7683" max="7683" width="27.44140625" style="4" customWidth="1"/>
    <col min="7684" max="7684" width="9.44140625" style="4" customWidth="1"/>
    <col min="7685" max="7685" width="13.109375" style="4" customWidth="1"/>
    <col min="7686" max="7686" width="7.5546875" style="4" customWidth="1"/>
    <col min="7687" max="7687" width="8.5546875" style="4" customWidth="1"/>
    <col min="7688" max="7688" width="9.5546875" style="4" bestFit="1" customWidth="1"/>
    <col min="7689" max="7689" width="11.6640625" style="4" customWidth="1"/>
    <col min="7690" max="7691" width="9.5546875" style="4" customWidth="1"/>
    <col min="7692" max="7692" width="10.5546875" style="4" customWidth="1"/>
    <col min="7693" max="7693" width="24" style="4" customWidth="1"/>
    <col min="7694" max="7694" width="12.5546875" style="4" customWidth="1"/>
    <col min="7695" max="7695" width="15.44140625" style="4" customWidth="1"/>
    <col min="7696" max="7936" width="9.109375" style="4"/>
    <col min="7937" max="7937" width="6.5546875" style="4" customWidth="1"/>
    <col min="7938" max="7938" width="19.6640625" style="4" customWidth="1"/>
    <col min="7939" max="7939" width="27.44140625" style="4" customWidth="1"/>
    <col min="7940" max="7940" width="9.44140625" style="4" customWidth="1"/>
    <col min="7941" max="7941" width="13.109375" style="4" customWidth="1"/>
    <col min="7942" max="7942" width="7.5546875" style="4" customWidth="1"/>
    <col min="7943" max="7943" width="8.5546875" style="4" customWidth="1"/>
    <col min="7944" max="7944" width="9.5546875" style="4" bestFit="1" customWidth="1"/>
    <col min="7945" max="7945" width="11.6640625" style="4" customWidth="1"/>
    <col min="7946" max="7947" width="9.5546875" style="4" customWidth="1"/>
    <col min="7948" max="7948" width="10.5546875" style="4" customWidth="1"/>
    <col min="7949" max="7949" width="24" style="4" customWidth="1"/>
    <col min="7950" max="7950" width="12.5546875" style="4" customWidth="1"/>
    <col min="7951" max="7951" width="15.44140625" style="4" customWidth="1"/>
    <col min="7952" max="8192" width="9.109375" style="4"/>
    <col min="8193" max="8193" width="6.5546875" style="4" customWidth="1"/>
    <col min="8194" max="8194" width="19.6640625" style="4" customWidth="1"/>
    <col min="8195" max="8195" width="27.44140625" style="4" customWidth="1"/>
    <col min="8196" max="8196" width="9.44140625" style="4" customWidth="1"/>
    <col min="8197" max="8197" width="13.109375" style="4" customWidth="1"/>
    <col min="8198" max="8198" width="7.5546875" style="4" customWidth="1"/>
    <col min="8199" max="8199" width="8.5546875" style="4" customWidth="1"/>
    <col min="8200" max="8200" width="9.5546875" style="4" bestFit="1" customWidth="1"/>
    <col min="8201" max="8201" width="11.6640625" style="4" customWidth="1"/>
    <col min="8202" max="8203" width="9.5546875" style="4" customWidth="1"/>
    <col min="8204" max="8204" width="10.5546875" style="4" customWidth="1"/>
    <col min="8205" max="8205" width="24" style="4" customWidth="1"/>
    <col min="8206" max="8206" width="12.5546875" style="4" customWidth="1"/>
    <col min="8207" max="8207" width="15.44140625" style="4" customWidth="1"/>
    <col min="8208" max="8448" width="9.109375" style="4"/>
    <col min="8449" max="8449" width="6.5546875" style="4" customWidth="1"/>
    <col min="8450" max="8450" width="19.6640625" style="4" customWidth="1"/>
    <col min="8451" max="8451" width="27.44140625" style="4" customWidth="1"/>
    <col min="8452" max="8452" width="9.44140625" style="4" customWidth="1"/>
    <col min="8453" max="8453" width="13.109375" style="4" customWidth="1"/>
    <col min="8454" max="8454" width="7.5546875" style="4" customWidth="1"/>
    <col min="8455" max="8455" width="8.5546875" style="4" customWidth="1"/>
    <col min="8456" max="8456" width="9.5546875" style="4" bestFit="1" customWidth="1"/>
    <col min="8457" max="8457" width="11.6640625" style="4" customWidth="1"/>
    <col min="8458" max="8459" width="9.5546875" style="4" customWidth="1"/>
    <col min="8460" max="8460" width="10.5546875" style="4" customWidth="1"/>
    <col min="8461" max="8461" width="24" style="4" customWidth="1"/>
    <col min="8462" max="8462" width="12.5546875" style="4" customWidth="1"/>
    <col min="8463" max="8463" width="15.44140625" style="4" customWidth="1"/>
    <col min="8464" max="8704" width="9.109375" style="4"/>
    <col min="8705" max="8705" width="6.5546875" style="4" customWidth="1"/>
    <col min="8706" max="8706" width="19.6640625" style="4" customWidth="1"/>
    <col min="8707" max="8707" width="27.44140625" style="4" customWidth="1"/>
    <col min="8708" max="8708" width="9.44140625" style="4" customWidth="1"/>
    <col min="8709" max="8709" width="13.109375" style="4" customWidth="1"/>
    <col min="8710" max="8710" width="7.5546875" style="4" customWidth="1"/>
    <col min="8711" max="8711" width="8.5546875" style="4" customWidth="1"/>
    <col min="8712" max="8712" width="9.5546875" style="4" bestFit="1" customWidth="1"/>
    <col min="8713" max="8713" width="11.6640625" style="4" customWidth="1"/>
    <col min="8714" max="8715" width="9.5546875" style="4" customWidth="1"/>
    <col min="8716" max="8716" width="10.5546875" style="4" customWidth="1"/>
    <col min="8717" max="8717" width="24" style="4" customWidth="1"/>
    <col min="8718" max="8718" width="12.5546875" style="4" customWidth="1"/>
    <col min="8719" max="8719" width="15.44140625" style="4" customWidth="1"/>
    <col min="8720" max="8960" width="9.109375" style="4"/>
    <col min="8961" max="8961" width="6.5546875" style="4" customWidth="1"/>
    <col min="8962" max="8962" width="19.6640625" style="4" customWidth="1"/>
    <col min="8963" max="8963" width="27.44140625" style="4" customWidth="1"/>
    <col min="8964" max="8964" width="9.44140625" style="4" customWidth="1"/>
    <col min="8965" max="8965" width="13.109375" style="4" customWidth="1"/>
    <col min="8966" max="8966" width="7.5546875" style="4" customWidth="1"/>
    <col min="8967" max="8967" width="8.5546875" style="4" customWidth="1"/>
    <col min="8968" max="8968" width="9.5546875" style="4" bestFit="1" customWidth="1"/>
    <col min="8969" max="8969" width="11.6640625" style="4" customWidth="1"/>
    <col min="8970" max="8971" width="9.5546875" style="4" customWidth="1"/>
    <col min="8972" max="8972" width="10.5546875" style="4" customWidth="1"/>
    <col min="8973" max="8973" width="24" style="4" customWidth="1"/>
    <col min="8974" max="8974" width="12.5546875" style="4" customWidth="1"/>
    <col min="8975" max="8975" width="15.44140625" style="4" customWidth="1"/>
    <col min="8976" max="9216" width="9.109375" style="4"/>
    <col min="9217" max="9217" width="6.5546875" style="4" customWidth="1"/>
    <col min="9218" max="9218" width="19.6640625" style="4" customWidth="1"/>
    <col min="9219" max="9219" width="27.44140625" style="4" customWidth="1"/>
    <col min="9220" max="9220" width="9.44140625" style="4" customWidth="1"/>
    <col min="9221" max="9221" width="13.109375" style="4" customWidth="1"/>
    <col min="9222" max="9222" width="7.5546875" style="4" customWidth="1"/>
    <col min="9223" max="9223" width="8.5546875" style="4" customWidth="1"/>
    <col min="9224" max="9224" width="9.5546875" style="4" bestFit="1" customWidth="1"/>
    <col min="9225" max="9225" width="11.6640625" style="4" customWidth="1"/>
    <col min="9226" max="9227" width="9.5546875" style="4" customWidth="1"/>
    <col min="9228" max="9228" width="10.5546875" style="4" customWidth="1"/>
    <col min="9229" max="9229" width="24" style="4" customWidth="1"/>
    <col min="9230" max="9230" width="12.5546875" style="4" customWidth="1"/>
    <col min="9231" max="9231" width="15.44140625" style="4" customWidth="1"/>
    <col min="9232" max="9472" width="9.109375" style="4"/>
    <col min="9473" max="9473" width="6.5546875" style="4" customWidth="1"/>
    <col min="9474" max="9474" width="19.6640625" style="4" customWidth="1"/>
    <col min="9475" max="9475" width="27.44140625" style="4" customWidth="1"/>
    <col min="9476" max="9476" width="9.44140625" style="4" customWidth="1"/>
    <col min="9477" max="9477" width="13.109375" style="4" customWidth="1"/>
    <col min="9478" max="9478" width="7.5546875" style="4" customWidth="1"/>
    <col min="9479" max="9479" width="8.5546875" style="4" customWidth="1"/>
    <col min="9480" max="9480" width="9.5546875" style="4" bestFit="1" customWidth="1"/>
    <col min="9481" max="9481" width="11.6640625" style="4" customWidth="1"/>
    <col min="9482" max="9483" width="9.5546875" style="4" customWidth="1"/>
    <col min="9484" max="9484" width="10.5546875" style="4" customWidth="1"/>
    <col min="9485" max="9485" width="24" style="4" customWidth="1"/>
    <col min="9486" max="9486" width="12.5546875" style="4" customWidth="1"/>
    <col min="9487" max="9487" width="15.44140625" style="4" customWidth="1"/>
    <col min="9488" max="9728" width="9.109375" style="4"/>
    <col min="9729" max="9729" width="6.5546875" style="4" customWidth="1"/>
    <col min="9730" max="9730" width="19.6640625" style="4" customWidth="1"/>
    <col min="9731" max="9731" width="27.44140625" style="4" customWidth="1"/>
    <col min="9732" max="9732" width="9.44140625" style="4" customWidth="1"/>
    <col min="9733" max="9733" width="13.109375" style="4" customWidth="1"/>
    <col min="9734" max="9734" width="7.5546875" style="4" customWidth="1"/>
    <col min="9735" max="9735" width="8.5546875" style="4" customWidth="1"/>
    <col min="9736" max="9736" width="9.5546875" style="4" bestFit="1" customWidth="1"/>
    <col min="9737" max="9737" width="11.6640625" style="4" customWidth="1"/>
    <col min="9738" max="9739" width="9.5546875" style="4" customWidth="1"/>
    <col min="9740" max="9740" width="10.5546875" style="4" customWidth="1"/>
    <col min="9741" max="9741" width="24" style="4" customWidth="1"/>
    <col min="9742" max="9742" width="12.5546875" style="4" customWidth="1"/>
    <col min="9743" max="9743" width="15.44140625" style="4" customWidth="1"/>
    <col min="9744" max="9984" width="9.109375" style="4"/>
    <col min="9985" max="9985" width="6.5546875" style="4" customWidth="1"/>
    <col min="9986" max="9986" width="19.6640625" style="4" customWidth="1"/>
    <col min="9987" max="9987" width="27.44140625" style="4" customWidth="1"/>
    <col min="9988" max="9988" width="9.44140625" style="4" customWidth="1"/>
    <col min="9989" max="9989" width="13.109375" style="4" customWidth="1"/>
    <col min="9990" max="9990" width="7.5546875" style="4" customWidth="1"/>
    <col min="9991" max="9991" width="8.5546875" style="4" customWidth="1"/>
    <col min="9992" max="9992" width="9.5546875" style="4" bestFit="1" customWidth="1"/>
    <col min="9993" max="9993" width="11.6640625" style="4" customWidth="1"/>
    <col min="9994" max="9995" width="9.5546875" style="4" customWidth="1"/>
    <col min="9996" max="9996" width="10.5546875" style="4" customWidth="1"/>
    <col min="9997" max="9997" width="24" style="4" customWidth="1"/>
    <col min="9998" max="9998" width="12.5546875" style="4" customWidth="1"/>
    <col min="9999" max="9999" width="15.44140625" style="4" customWidth="1"/>
    <col min="10000" max="10240" width="9.109375" style="4"/>
    <col min="10241" max="10241" width="6.5546875" style="4" customWidth="1"/>
    <col min="10242" max="10242" width="19.6640625" style="4" customWidth="1"/>
    <col min="10243" max="10243" width="27.44140625" style="4" customWidth="1"/>
    <col min="10244" max="10244" width="9.44140625" style="4" customWidth="1"/>
    <col min="10245" max="10245" width="13.109375" style="4" customWidth="1"/>
    <col min="10246" max="10246" width="7.5546875" style="4" customWidth="1"/>
    <col min="10247" max="10247" width="8.5546875" style="4" customWidth="1"/>
    <col min="10248" max="10248" width="9.5546875" style="4" bestFit="1" customWidth="1"/>
    <col min="10249" max="10249" width="11.6640625" style="4" customWidth="1"/>
    <col min="10250" max="10251" width="9.5546875" style="4" customWidth="1"/>
    <col min="10252" max="10252" width="10.5546875" style="4" customWidth="1"/>
    <col min="10253" max="10253" width="24" style="4" customWidth="1"/>
    <col min="10254" max="10254" width="12.5546875" style="4" customWidth="1"/>
    <col min="10255" max="10255" width="15.44140625" style="4" customWidth="1"/>
    <col min="10256" max="10496" width="9.109375" style="4"/>
    <col min="10497" max="10497" width="6.5546875" style="4" customWidth="1"/>
    <col min="10498" max="10498" width="19.6640625" style="4" customWidth="1"/>
    <col min="10499" max="10499" width="27.44140625" style="4" customWidth="1"/>
    <col min="10500" max="10500" width="9.44140625" style="4" customWidth="1"/>
    <col min="10501" max="10501" width="13.109375" style="4" customWidth="1"/>
    <col min="10502" max="10502" width="7.5546875" style="4" customWidth="1"/>
    <col min="10503" max="10503" width="8.5546875" style="4" customWidth="1"/>
    <col min="10504" max="10504" width="9.5546875" style="4" bestFit="1" customWidth="1"/>
    <col min="10505" max="10505" width="11.6640625" style="4" customWidth="1"/>
    <col min="10506" max="10507" width="9.5546875" style="4" customWidth="1"/>
    <col min="10508" max="10508" width="10.5546875" style="4" customWidth="1"/>
    <col min="10509" max="10509" width="24" style="4" customWidth="1"/>
    <col min="10510" max="10510" width="12.5546875" style="4" customWidth="1"/>
    <col min="10511" max="10511" width="15.44140625" style="4" customWidth="1"/>
    <col min="10512" max="10752" width="9.109375" style="4"/>
    <col min="10753" max="10753" width="6.5546875" style="4" customWidth="1"/>
    <col min="10754" max="10754" width="19.6640625" style="4" customWidth="1"/>
    <col min="10755" max="10755" width="27.44140625" style="4" customWidth="1"/>
    <col min="10756" max="10756" width="9.44140625" style="4" customWidth="1"/>
    <col min="10757" max="10757" width="13.109375" style="4" customWidth="1"/>
    <col min="10758" max="10758" width="7.5546875" style="4" customWidth="1"/>
    <col min="10759" max="10759" width="8.5546875" style="4" customWidth="1"/>
    <col min="10760" max="10760" width="9.5546875" style="4" bestFit="1" customWidth="1"/>
    <col min="10761" max="10761" width="11.6640625" style="4" customWidth="1"/>
    <col min="10762" max="10763" width="9.5546875" style="4" customWidth="1"/>
    <col min="10764" max="10764" width="10.5546875" style="4" customWidth="1"/>
    <col min="10765" max="10765" width="24" style="4" customWidth="1"/>
    <col min="10766" max="10766" width="12.5546875" style="4" customWidth="1"/>
    <col min="10767" max="10767" width="15.44140625" style="4" customWidth="1"/>
    <col min="10768" max="11008" width="9.109375" style="4"/>
    <col min="11009" max="11009" width="6.5546875" style="4" customWidth="1"/>
    <col min="11010" max="11010" width="19.6640625" style="4" customWidth="1"/>
    <col min="11011" max="11011" width="27.44140625" style="4" customWidth="1"/>
    <col min="11012" max="11012" width="9.44140625" style="4" customWidth="1"/>
    <col min="11013" max="11013" width="13.109375" style="4" customWidth="1"/>
    <col min="11014" max="11014" width="7.5546875" style="4" customWidth="1"/>
    <col min="11015" max="11015" width="8.5546875" style="4" customWidth="1"/>
    <col min="11016" max="11016" width="9.5546875" style="4" bestFit="1" customWidth="1"/>
    <col min="11017" max="11017" width="11.6640625" style="4" customWidth="1"/>
    <col min="11018" max="11019" width="9.5546875" style="4" customWidth="1"/>
    <col min="11020" max="11020" width="10.5546875" style="4" customWidth="1"/>
    <col min="11021" max="11021" width="24" style="4" customWidth="1"/>
    <col min="11022" max="11022" width="12.5546875" style="4" customWidth="1"/>
    <col min="11023" max="11023" width="15.44140625" style="4" customWidth="1"/>
    <col min="11024" max="11264" width="9.109375" style="4"/>
    <col min="11265" max="11265" width="6.5546875" style="4" customWidth="1"/>
    <col min="11266" max="11266" width="19.6640625" style="4" customWidth="1"/>
    <col min="11267" max="11267" width="27.44140625" style="4" customWidth="1"/>
    <col min="11268" max="11268" width="9.44140625" style="4" customWidth="1"/>
    <col min="11269" max="11269" width="13.109375" style="4" customWidth="1"/>
    <col min="11270" max="11270" width="7.5546875" style="4" customWidth="1"/>
    <col min="11271" max="11271" width="8.5546875" style="4" customWidth="1"/>
    <col min="11272" max="11272" width="9.5546875" style="4" bestFit="1" customWidth="1"/>
    <col min="11273" max="11273" width="11.6640625" style="4" customWidth="1"/>
    <col min="11274" max="11275" width="9.5546875" style="4" customWidth="1"/>
    <col min="11276" max="11276" width="10.5546875" style="4" customWidth="1"/>
    <col min="11277" max="11277" width="24" style="4" customWidth="1"/>
    <col min="11278" max="11278" width="12.5546875" style="4" customWidth="1"/>
    <col min="11279" max="11279" width="15.44140625" style="4" customWidth="1"/>
    <col min="11280" max="11520" width="9.109375" style="4"/>
    <col min="11521" max="11521" width="6.5546875" style="4" customWidth="1"/>
    <col min="11522" max="11522" width="19.6640625" style="4" customWidth="1"/>
    <col min="11523" max="11523" width="27.44140625" style="4" customWidth="1"/>
    <col min="11524" max="11524" width="9.44140625" style="4" customWidth="1"/>
    <col min="11525" max="11525" width="13.109375" style="4" customWidth="1"/>
    <col min="11526" max="11526" width="7.5546875" style="4" customWidth="1"/>
    <col min="11527" max="11527" width="8.5546875" style="4" customWidth="1"/>
    <col min="11528" max="11528" width="9.5546875" style="4" bestFit="1" customWidth="1"/>
    <col min="11529" max="11529" width="11.6640625" style="4" customWidth="1"/>
    <col min="11530" max="11531" width="9.5546875" style="4" customWidth="1"/>
    <col min="11532" max="11532" width="10.5546875" style="4" customWidth="1"/>
    <col min="11533" max="11533" width="24" style="4" customWidth="1"/>
    <col min="11534" max="11534" width="12.5546875" style="4" customWidth="1"/>
    <col min="11535" max="11535" width="15.44140625" style="4" customWidth="1"/>
    <col min="11536" max="11776" width="9.109375" style="4"/>
    <col min="11777" max="11777" width="6.5546875" style="4" customWidth="1"/>
    <col min="11778" max="11778" width="19.6640625" style="4" customWidth="1"/>
    <col min="11779" max="11779" width="27.44140625" style="4" customWidth="1"/>
    <col min="11780" max="11780" width="9.44140625" style="4" customWidth="1"/>
    <col min="11781" max="11781" width="13.109375" style="4" customWidth="1"/>
    <col min="11782" max="11782" width="7.5546875" style="4" customWidth="1"/>
    <col min="11783" max="11783" width="8.5546875" style="4" customWidth="1"/>
    <col min="11784" max="11784" width="9.5546875" style="4" bestFit="1" customWidth="1"/>
    <col min="11785" max="11785" width="11.6640625" style="4" customWidth="1"/>
    <col min="11786" max="11787" width="9.5546875" style="4" customWidth="1"/>
    <col min="11788" max="11788" width="10.5546875" style="4" customWidth="1"/>
    <col min="11789" max="11789" width="24" style="4" customWidth="1"/>
    <col min="11790" max="11790" width="12.5546875" style="4" customWidth="1"/>
    <col min="11791" max="11791" width="15.44140625" style="4" customWidth="1"/>
    <col min="11792" max="12032" width="9.109375" style="4"/>
    <col min="12033" max="12033" width="6.5546875" style="4" customWidth="1"/>
    <col min="12034" max="12034" width="19.6640625" style="4" customWidth="1"/>
    <col min="12035" max="12035" width="27.44140625" style="4" customWidth="1"/>
    <col min="12036" max="12036" width="9.44140625" style="4" customWidth="1"/>
    <col min="12037" max="12037" width="13.109375" style="4" customWidth="1"/>
    <col min="12038" max="12038" width="7.5546875" style="4" customWidth="1"/>
    <col min="12039" max="12039" width="8.5546875" style="4" customWidth="1"/>
    <col min="12040" max="12040" width="9.5546875" style="4" bestFit="1" customWidth="1"/>
    <col min="12041" max="12041" width="11.6640625" style="4" customWidth="1"/>
    <col min="12042" max="12043" width="9.5546875" style="4" customWidth="1"/>
    <col min="12044" max="12044" width="10.5546875" style="4" customWidth="1"/>
    <col min="12045" max="12045" width="24" style="4" customWidth="1"/>
    <col min="12046" max="12046" width="12.5546875" style="4" customWidth="1"/>
    <col min="12047" max="12047" width="15.44140625" style="4" customWidth="1"/>
    <col min="12048" max="12288" width="9.109375" style="4"/>
    <col min="12289" max="12289" width="6.5546875" style="4" customWidth="1"/>
    <col min="12290" max="12290" width="19.6640625" style="4" customWidth="1"/>
    <col min="12291" max="12291" width="27.44140625" style="4" customWidth="1"/>
    <col min="12292" max="12292" width="9.44140625" style="4" customWidth="1"/>
    <col min="12293" max="12293" width="13.109375" style="4" customWidth="1"/>
    <col min="12294" max="12294" width="7.5546875" style="4" customWidth="1"/>
    <col min="12295" max="12295" width="8.5546875" style="4" customWidth="1"/>
    <col min="12296" max="12296" width="9.5546875" style="4" bestFit="1" customWidth="1"/>
    <col min="12297" max="12297" width="11.6640625" style="4" customWidth="1"/>
    <col min="12298" max="12299" width="9.5546875" style="4" customWidth="1"/>
    <col min="12300" max="12300" width="10.5546875" style="4" customWidth="1"/>
    <col min="12301" max="12301" width="24" style="4" customWidth="1"/>
    <col min="12302" max="12302" width="12.5546875" style="4" customWidth="1"/>
    <col min="12303" max="12303" width="15.44140625" style="4" customWidth="1"/>
    <col min="12304" max="12544" width="9.109375" style="4"/>
    <col min="12545" max="12545" width="6.5546875" style="4" customWidth="1"/>
    <col min="12546" max="12546" width="19.6640625" style="4" customWidth="1"/>
    <col min="12547" max="12547" width="27.44140625" style="4" customWidth="1"/>
    <col min="12548" max="12548" width="9.44140625" style="4" customWidth="1"/>
    <col min="12549" max="12549" width="13.109375" style="4" customWidth="1"/>
    <col min="12550" max="12550" width="7.5546875" style="4" customWidth="1"/>
    <col min="12551" max="12551" width="8.5546875" style="4" customWidth="1"/>
    <col min="12552" max="12552" width="9.5546875" style="4" bestFit="1" customWidth="1"/>
    <col min="12553" max="12553" width="11.6640625" style="4" customWidth="1"/>
    <col min="12554" max="12555" width="9.5546875" style="4" customWidth="1"/>
    <col min="12556" max="12556" width="10.5546875" style="4" customWidth="1"/>
    <col min="12557" max="12557" width="24" style="4" customWidth="1"/>
    <col min="12558" max="12558" width="12.5546875" style="4" customWidth="1"/>
    <col min="12559" max="12559" width="15.44140625" style="4" customWidth="1"/>
    <col min="12560" max="12800" width="9.109375" style="4"/>
    <col min="12801" max="12801" width="6.5546875" style="4" customWidth="1"/>
    <col min="12802" max="12802" width="19.6640625" style="4" customWidth="1"/>
    <col min="12803" max="12803" width="27.44140625" style="4" customWidth="1"/>
    <col min="12804" max="12804" width="9.44140625" style="4" customWidth="1"/>
    <col min="12805" max="12805" width="13.109375" style="4" customWidth="1"/>
    <col min="12806" max="12806" width="7.5546875" style="4" customWidth="1"/>
    <col min="12807" max="12807" width="8.5546875" style="4" customWidth="1"/>
    <col min="12808" max="12808" width="9.5546875" style="4" bestFit="1" customWidth="1"/>
    <col min="12809" max="12809" width="11.6640625" style="4" customWidth="1"/>
    <col min="12810" max="12811" width="9.5546875" style="4" customWidth="1"/>
    <col min="12812" max="12812" width="10.5546875" style="4" customWidth="1"/>
    <col min="12813" max="12813" width="24" style="4" customWidth="1"/>
    <col min="12814" max="12814" width="12.5546875" style="4" customWidth="1"/>
    <col min="12815" max="12815" width="15.44140625" style="4" customWidth="1"/>
    <col min="12816" max="13056" width="9.109375" style="4"/>
    <col min="13057" max="13057" width="6.5546875" style="4" customWidth="1"/>
    <col min="13058" max="13058" width="19.6640625" style="4" customWidth="1"/>
    <col min="13059" max="13059" width="27.44140625" style="4" customWidth="1"/>
    <col min="13060" max="13060" width="9.44140625" style="4" customWidth="1"/>
    <col min="13061" max="13061" width="13.109375" style="4" customWidth="1"/>
    <col min="13062" max="13062" width="7.5546875" style="4" customWidth="1"/>
    <col min="13063" max="13063" width="8.5546875" style="4" customWidth="1"/>
    <col min="13064" max="13064" width="9.5546875" style="4" bestFit="1" customWidth="1"/>
    <col min="13065" max="13065" width="11.6640625" style="4" customWidth="1"/>
    <col min="13066" max="13067" width="9.5546875" style="4" customWidth="1"/>
    <col min="13068" max="13068" width="10.5546875" style="4" customWidth="1"/>
    <col min="13069" max="13069" width="24" style="4" customWidth="1"/>
    <col min="13070" max="13070" width="12.5546875" style="4" customWidth="1"/>
    <col min="13071" max="13071" width="15.44140625" style="4" customWidth="1"/>
    <col min="13072" max="13312" width="9.109375" style="4"/>
    <col min="13313" max="13313" width="6.5546875" style="4" customWidth="1"/>
    <col min="13314" max="13314" width="19.6640625" style="4" customWidth="1"/>
    <col min="13315" max="13315" width="27.44140625" style="4" customWidth="1"/>
    <col min="13316" max="13316" width="9.44140625" style="4" customWidth="1"/>
    <col min="13317" max="13317" width="13.109375" style="4" customWidth="1"/>
    <col min="13318" max="13318" width="7.5546875" style="4" customWidth="1"/>
    <col min="13319" max="13319" width="8.5546875" style="4" customWidth="1"/>
    <col min="13320" max="13320" width="9.5546875" style="4" bestFit="1" customWidth="1"/>
    <col min="13321" max="13321" width="11.6640625" style="4" customWidth="1"/>
    <col min="13322" max="13323" width="9.5546875" style="4" customWidth="1"/>
    <col min="13324" max="13324" width="10.5546875" style="4" customWidth="1"/>
    <col min="13325" max="13325" width="24" style="4" customWidth="1"/>
    <col min="13326" max="13326" width="12.5546875" style="4" customWidth="1"/>
    <col min="13327" max="13327" width="15.44140625" style="4" customWidth="1"/>
    <col min="13328" max="13568" width="9.109375" style="4"/>
    <col min="13569" max="13569" width="6.5546875" style="4" customWidth="1"/>
    <col min="13570" max="13570" width="19.6640625" style="4" customWidth="1"/>
    <col min="13571" max="13571" width="27.44140625" style="4" customWidth="1"/>
    <col min="13572" max="13572" width="9.44140625" style="4" customWidth="1"/>
    <col min="13573" max="13573" width="13.109375" style="4" customWidth="1"/>
    <col min="13574" max="13574" width="7.5546875" style="4" customWidth="1"/>
    <col min="13575" max="13575" width="8.5546875" style="4" customWidth="1"/>
    <col min="13576" max="13576" width="9.5546875" style="4" bestFit="1" customWidth="1"/>
    <col min="13577" max="13577" width="11.6640625" style="4" customWidth="1"/>
    <col min="13578" max="13579" width="9.5546875" style="4" customWidth="1"/>
    <col min="13580" max="13580" width="10.5546875" style="4" customWidth="1"/>
    <col min="13581" max="13581" width="24" style="4" customWidth="1"/>
    <col min="13582" max="13582" width="12.5546875" style="4" customWidth="1"/>
    <col min="13583" max="13583" width="15.44140625" style="4" customWidth="1"/>
    <col min="13584" max="13824" width="9.109375" style="4"/>
    <col min="13825" max="13825" width="6.5546875" style="4" customWidth="1"/>
    <col min="13826" max="13826" width="19.6640625" style="4" customWidth="1"/>
    <col min="13827" max="13827" width="27.44140625" style="4" customWidth="1"/>
    <col min="13828" max="13828" width="9.44140625" style="4" customWidth="1"/>
    <col min="13829" max="13829" width="13.109375" style="4" customWidth="1"/>
    <col min="13830" max="13830" width="7.5546875" style="4" customWidth="1"/>
    <col min="13831" max="13831" width="8.5546875" style="4" customWidth="1"/>
    <col min="13832" max="13832" width="9.5546875" style="4" bestFit="1" customWidth="1"/>
    <col min="13833" max="13833" width="11.6640625" style="4" customWidth="1"/>
    <col min="13834" max="13835" width="9.5546875" style="4" customWidth="1"/>
    <col min="13836" max="13836" width="10.5546875" style="4" customWidth="1"/>
    <col min="13837" max="13837" width="24" style="4" customWidth="1"/>
    <col min="13838" max="13838" width="12.5546875" style="4" customWidth="1"/>
    <col min="13839" max="13839" width="15.44140625" style="4" customWidth="1"/>
    <col min="13840" max="14080" width="9.109375" style="4"/>
    <col min="14081" max="14081" width="6.5546875" style="4" customWidth="1"/>
    <col min="14082" max="14082" width="19.6640625" style="4" customWidth="1"/>
    <col min="14083" max="14083" width="27.44140625" style="4" customWidth="1"/>
    <col min="14084" max="14084" width="9.44140625" style="4" customWidth="1"/>
    <col min="14085" max="14085" width="13.109375" style="4" customWidth="1"/>
    <col min="14086" max="14086" width="7.5546875" style="4" customWidth="1"/>
    <col min="14087" max="14087" width="8.5546875" style="4" customWidth="1"/>
    <col min="14088" max="14088" width="9.5546875" style="4" bestFit="1" customWidth="1"/>
    <col min="14089" max="14089" width="11.6640625" style="4" customWidth="1"/>
    <col min="14090" max="14091" width="9.5546875" style="4" customWidth="1"/>
    <col min="14092" max="14092" width="10.5546875" style="4" customWidth="1"/>
    <col min="14093" max="14093" width="24" style="4" customWidth="1"/>
    <col min="14094" max="14094" width="12.5546875" style="4" customWidth="1"/>
    <col min="14095" max="14095" width="15.44140625" style="4" customWidth="1"/>
    <col min="14096" max="14336" width="9.109375" style="4"/>
    <col min="14337" max="14337" width="6.5546875" style="4" customWidth="1"/>
    <col min="14338" max="14338" width="19.6640625" style="4" customWidth="1"/>
    <col min="14339" max="14339" width="27.44140625" style="4" customWidth="1"/>
    <col min="14340" max="14340" width="9.44140625" style="4" customWidth="1"/>
    <col min="14341" max="14341" width="13.109375" style="4" customWidth="1"/>
    <col min="14342" max="14342" width="7.5546875" style="4" customWidth="1"/>
    <col min="14343" max="14343" width="8.5546875" style="4" customWidth="1"/>
    <col min="14344" max="14344" width="9.5546875" style="4" bestFit="1" customWidth="1"/>
    <col min="14345" max="14345" width="11.6640625" style="4" customWidth="1"/>
    <col min="14346" max="14347" width="9.5546875" style="4" customWidth="1"/>
    <col min="14348" max="14348" width="10.5546875" style="4" customWidth="1"/>
    <col min="14349" max="14349" width="24" style="4" customWidth="1"/>
    <col min="14350" max="14350" width="12.5546875" style="4" customWidth="1"/>
    <col min="14351" max="14351" width="15.44140625" style="4" customWidth="1"/>
    <col min="14352" max="14592" width="9.109375" style="4"/>
    <col min="14593" max="14593" width="6.5546875" style="4" customWidth="1"/>
    <col min="14594" max="14594" width="19.6640625" style="4" customWidth="1"/>
    <col min="14595" max="14595" width="27.44140625" style="4" customWidth="1"/>
    <col min="14596" max="14596" width="9.44140625" style="4" customWidth="1"/>
    <col min="14597" max="14597" width="13.109375" style="4" customWidth="1"/>
    <col min="14598" max="14598" width="7.5546875" style="4" customWidth="1"/>
    <col min="14599" max="14599" width="8.5546875" style="4" customWidth="1"/>
    <col min="14600" max="14600" width="9.5546875" style="4" bestFit="1" customWidth="1"/>
    <col min="14601" max="14601" width="11.6640625" style="4" customWidth="1"/>
    <col min="14602" max="14603" width="9.5546875" style="4" customWidth="1"/>
    <col min="14604" max="14604" width="10.5546875" style="4" customWidth="1"/>
    <col min="14605" max="14605" width="24" style="4" customWidth="1"/>
    <col min="14606" max="14606" width="12.5546875" style="4" customWidth="1"/>
    <col min="14607" max="14607" width="15.44140625" style="4" customWidth="1"/>
    <col min="14608" max="14848" width="9.109375" style="4"/>
    <col min="14849" max="14849" width="6.5546875" style="4" customWidth="1"/>
    <col min="14850" max="14850" width="19.6640625" style="4" customWidth="1"/>
    <col min="14851" max="14851" width="27.44140625" style="4" customWidth="1"/>
    <col min="14852" max="14852" width="9.44140625" style="4" customWidth="1"/>
    <col min="14853" max="14853" width="13.109375" style="4" customWidth="1"/>
    <col min="14854" max="14854" width="7.5546875" style="4" customWidth="1"/>
    <col min="14855" max="14855" width="8.5546875" style="4" customWidth="1"/>
    <col min="14856" max="14856" width="9.5546875" style="4" bestFit="1" customWidth="1"/>
    <col min="14857" max="14857" width="11.6640625" style="4" customWidth="1"/>
    <col min="14858" max="14859" width="9.5546875" style="4" customWidth="1"/>
    <col min="14860" max="14860" width="10.5546875" style="4" customWidth="1"/>
    <col min="14861" max="14861" width="24" style="4" customWidth="1"/>
    <col min="14862" max="14862" width="12.5546875" style="4" customWidth="1"/>
    <col min="14863" max="14863" width="15.44140625" style="4" customWidth="1"/>
    <col min="14864" max="15104" width="9.109375" style="4"/>
    <col min="15105" max="15105" width="6.5546875" style="4" customWidth="1"/>
    <col min="15106" max="15106" width="19.6640625" style="4" customWidth="1"/>
    <col min="15107" max="15107" width="27.44140625" style="4" customWidth="1"/>
    <col min="15108" max="15108" width="9.44140625" style="4" customWidth="1"/>
    <col min="15109" max="15109" width="13.109375" style="4" customWidth="1"/>
    <col min="15110" max="15110" width="7.5546875" style="4" customWidth="1"/>
    <col min="15111" max="15111" width="8.5546875" style="4" customWidth="1"/>
    <col min="15112" max="15112" width="9.5546875" style="4" bestFit="1" customWidth="1"/>
    <col min="15113" max="15113" width="11.6640625" style="4" customWidth="1"/>
    <col min="15114" max="15115" width="9.5546875" style="4" customWidth="1"/>
    <col min="15116" max="15116" width="10.5546875" style="4" customWidth="1"/>
    <col min="15117" max="15117" width="24" style="4" customWidth="1"/>
    <col min="15118" max="15118" width="12.5546875" style="4" customWidth="1"/>
    <col min="15119" max="15119" width="15.44140625" style="4" customWidth="1"/>
    <col min="15120" max="15360" width="9.109375" style="4"/>
    <col min="15361" max="15361" width="6.5546875" style="4" customWidth="1"/>
    <col min="15362" max="15362" width="19.6640625" style="4" customWidth="1"/>
    <col min="15363" max="15363" width="27.44140625" style="4" customWidth="1"/>
    <col min="15364" max="15364" width="9.44140625" style="4" customWidth="1"/>
    <col min="15365" max="15365" width="13.109375" style="4" customWidth="1"/>
    <col min="15366" max="15366" width="7.5546875" style="4" customWidth="1"/>
    <col min="15367" max="15367" width="8.5546875" style="4" customWidth="1"/>
    <col min="15368" max="15368" width="9.5546875" style="4" bestFit="1" customWidth="1"/>
    <col min="15369" max="15369" width="11.6640625" style="4" customWidth="1"/>
    <col min="15370" max="15371" width="9.5546875" style="4" customWidth="1"/>
    <col min="15372" max="15372" width="10.5546875" style="4" customWidth="1"/>
    <col min="15373" max="15373" width="24" style="4" customWidth="1"/>
    <col min="15374" max="15374" width="12.5546875" style="4" customWidth="1"/>
    <col min="15375" max="15375" width="15.44140625" style="4" customWidth="1"/>
    <col min="15376" max="15616" width="9.109375" style="4"/>
    <col min="15617" max="15617" width="6.5546875" style="4" customWidth="1"/>
    <col min="15618" max="15618" width="19.6640625" style="4" customWidth="1"/>
    <col min="15619" max="15619" width="27.44140625" style="4" customWidth="1"/>
    <col min="15620" max="15620" width="9.44140625" style="4" customWidth="1"/>
    <col min="15621" max="15621" width="13.109375" style="4" customWidth="1"/>
    <col min="15622" max="15622" width="7.5546875" style="4" customWidth="1"/>
    <col min="15623" max="15623" width="8.5546875" style="4" customWidth="1"/>
    <col min="15624" max="15624" width="9.5546875" style="4" bestFit="1" customWidth="1"/>
    <col min="15625" max="15625" width="11.6640625" style="4" customWidth="1"/>
    <col min="15626" max="15627" width="9.5546875" style="4" customWidth="1"/>
    <col min="15628" max="15628" width="10.5546875" style="4" customWidth="1"/>
    <col min="15629" max="15629" width="24" style="4" customWidth="1"/>
    <col min="15630" max="15630" width="12.5546875" style="4" customWidth="1"/>
    <col min="15631" max="15631" width="15.44140625" style="4" customWidth="1"/>
    <col min="15632" max="15872" width="9.109375" style="4"/>
    <col min="15873" max="15873" width="6.5546875" style="4" customWidth="1"/>
    <col min="15874" max="15874" width="19.6640625" style="4" customWidth="1"/>
    <col min="15875" max="15875" width="27.44140625" style="4" customWidth="1"/>
    <col min="15876" max="15876" width="9.44140625" style="4" customWidth="1"/>
    <col min="15877" max="15877" width="13.109375" style="4" customWidth="1"/>
    <col min="15878" max="15878" width="7.5546875" style="4" customWidth="1"/>
    <col min="15879" max="15879" width="8.5546875" style="4" customWidth="1"/>
    <col min="15880" max="15880" width="9.5546875" style="4" bestFit="1" customWidth="1"/>
    <col min="15881" max="15881" width="11.6640625" style="4" customWidth="1"/>
    <col min="15882" max="15883" width="9.5546875" style="4" customWidth="1"/>
    <col min="15884" max="15884" width="10.5546875" style="4" customWidth="1"/>
    <col min="15885" max="15885" width="24" style="4" customWidth="1"/>
    <col min="15886" max="15886" width="12.5546875" style="4" customWidth="1"/>
    <col min="15887" max="15887" width="15.44140625" style="4" customWidth="1"/>
    <col min="15888" max="16128" width="9.109375" style="4"/>
    <col min="16129" max="16129" width="6.5546875" style="4" customWidth="1"/>
    <col min="16130" max="16130" width="19.6640625" style="4" customWidth="1"/>
    <col min="16131" max="16131" width="27.44140625" style="4" customWidth="1"/>
    <col min="16132" max="16132" width="9.44140625" style="4" customWidth="1"/>
    <col min="16133" max="16133" width="13.109375" style="4" customWidth="1"/>
    <col min="16134" max="16134" width="7.5546875" style="4" customWidth="1"/>
    <col min="16135" max="16135" width="8.5546875" style="4" customWidth="1"/>
    <col min="16136" max="16136" width="9.5546875" style="4" bestFit="1" customWidth="1"/>
    <col min="16137" max="16137" width="11.6640625" style="4" customWidth="1"/>
    <col min="16138" max="16139" width="9.5546875" style="4" customWidth="1"/>
    <col min="16140" max="16140" width="10.5546875" style="4" customWidth="1"/>
    <col min="16141" max="16141" width="24" style="4" customWidth="1"/>
    <col min="16142" max="16142" width="12.5546875" style="4" customWidth="1"/>
    <col min="16143" max="16143" width="15.44140625" style="4" customWidth="1"/>
    <col min="16144" max="16384" width="9.109375" style="4"/>
  </cols>
  <sheetData>
    <row r="1" spans="1:15" ht="13.8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27.75" customHeight="1" thickBot="1" x14ac:dyDescent="0.45">
      <c r="A2" s="5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9"/>
      <c r="N2" s="10"/>
      <c r="O2" s="11"/>
    </row>
    <row r="3" spans="1:15" ht="32.25" customHeight="1" thickBot="1" x14ac:dyDescent="0.3">
      <c r="A3" s="12"/>
      <c r="B3" s="13"/>
      <c r="C3" s="14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6"/>
      <c r="N3" s="17"/>
      <c r="O3" s="18"/>
    </row>
    <row r="4" spans="1:15" ht="21.6" thickBot="1" x14ac:dyDescent="0.45">
      <c r="A4" s="5"/>
      <c r="B4" s="5"/>
      <c r="C4" s="7" t="s">
        <v>1</v>
      </c>
      <c r="D4" s="8"/>
      <c r="E4" s="8"/>
      <c r="F4" s="8"/>
      <c r="G4" s="8"/>
      <c r="H4" s="8"/>
      <c r="I4" s="8"/>
      <c r="J4" s="8"/>
      <c r="K4" s="8"/>
      <c r="L4" s="8"/>
      <c r="M4" s="9"/>
      <c r="N4" s="10"/>
      <c r="O4" s="11"/>
    </row>
    <row r="5" spans="1:15" ht="15" customHeight="1" thickBot="1" x14ac:dyDescent="0.3">
      <c r="A5" s="12"/>
      <c r="B5" s="12"/>
      <c r="C5" s="19" t="s">
        <v>2</v>
      </c>
      <c r="D5" s="20"/>
      <c r="E5" s="20"/>
      <c r="F5" s="20"/>
      <c r="G5" s="20"/>
      <c r="H5" s="20"/>
      <c r="I5" s="20"/>
      <c r="J5" s="20"/>
      <c r="K5" s="20"/>
      <c r="L5" s="20"/>
      <c r="M5" s="21"/>
      <c r="N5" s="17"/>
      <c r="O5" s="18"/>
    </row>
    <row r="6" spans="1:15" ht="13.5" customHeight="1" thickBot="1" x14ac:dyDescent="0.3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</row>
    <row r="7" spans="1:15" ht="18" customHeight="1" thickBot="1" x14ac:dyDescent="0.3">
      <c r="A7" s="25"/>
      <c r="B7" s="26"/>
      <c r="C7" s="27" t="s">
        <v>3</v>
      </c>
      <c r="D7" s="28" t="s">
        <v>4</v>
      </c>
      <c r="E7" s="29"/>
      <c r="F7" s="29"/>
      <c r="G7" s="30"/>
      <c r="H7" s="31" t="s">
        <v>5</v>
      </c>
      <c r="I7" s="31" t="s">
        <v>6</v>
      </c>
      <c r="J7" s="31"/>
      <c r="K7" s="32"/>
      <c r="L7" s="32"/>
      <c r="M7" s="33"/>
      <c r="N7" s="1"/>
      <c r="O7" s="3"/>
    </row>
    <row r="8" spans="1:15" ht="18" customHeight="1" thickBot="1" x14ac:dyDescent="0.3">
      <c r="A8" s="34"/>
      <c r="B8" s="35" t="s">
        <v>7</v>
      </c>
      <c r="C8" s="36" t="s">
        <v>8</v>
      </c>
      <c r="D8" s="31" t="s">
        <v>5</v>
      </c>
      <c r="E8" s="37" t="s">
        <v>9</v>
      </c>
      <c r="F8" s="38"/>
      <c r="G8" s="39" t="s">
        <v>10</v>
      </c>
      <c r="H8" s="40"/>
      <c r="I8" s="41" t="s">
        <v>11</v>
      </c>
      <c r="J8" s="41"/>
      <c r="K8" s="32"/>
      <c r="L8" s="32"/>
      <c r="M8" s="33"/>
      <c r="N8" s="1"/>
      <c r="O8" s="3"/>
    </row>
    <row r="9" spans="1:15" ht="18" customHeight="1" thickBot="1" x14ac:dyDescent="0.3">
      <c r="A9" s="34"/>
      <c r="B9" s="35" t="s">
        <v>12</v>
      </c>
      <c r="C9" s="36" t="s">
        <v>11</v>
      </c>
      <c r="D9" s="42" t="s">
        <v>13</v>
      </c>
      <c r="E9" s="43"/>
      <c r="F9" s="43"/>
      <c r="G9" s="43"/>
      <c r="H9" s="43"/>
      <c r="I9" s="43"/>
      <c r="J9" s="43"/>
      <c r="K9" s="44"/>
      <c r="L9" s="45"/>
      <c r="M9" s="27" t="s">
        <v>14</v>
      </c>
      <c r="N9" s="46"/>
      <c r="O9" s="47"/>
    </row>
    <row r="10" spans="1:15" ht="13.8" thickBot="1" x14ac:dyDescent="0.3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50"/>
    </row>
    <row r="11" spans="1:15" ht="54.9" customHeight="1" thickBot="1" x14ac:dyDescent="0.3">
      <c r="A11" s="51" t="s">
        <v>15</v>
      </c>
      <c r="B11" s="52" t="s">
        <v>16</v>
      </c>
      <c r="C11" s="53" t="s">
        <v>17</v>
      </c>
      <c r="D11" s="54" t="s">
        <v>18</v>
      </c>
      <c r="E11" s="55" t="s">
        <v>19</v>
      </c>
      <c r="F11" s="56" t="s">
        <v>20</v>
      </c>
      <c r="G11" s="57"/>
      <c r="H11" s="55" t="s">
        <v>21</v>
      </c>
      <c r="I11" s="58" t="s">
        <v>22</v>
      </c>
      <c r="J11" s="58" t="s">
        <v>23</v>
      </c>
      <c r="K11" s="59" t="s">
        <v>24</v>
      </c>
      <c r="L11" s="55" t="s">
        <v>25</v>
      </c>
      <c r="M11" s="60" t="s">
        <v>26</v>
      </c>
      <c r="N11" s="61"/>
      <c r="O11" s="62"/>
    </row>
    <row r="12" spans="1:15" ht="17.100000000000001" customHeight="1" thickBot="1" x14ac:dyDescent="0.3">
      <c r="A12" s="63"/>
      <c r="B12" s="64"/>
      <c r="C12" s="65"/>
      <c r="D12" s="66"/>
      <c r="E12" s="67" t="s">
        <v>27</v>
      </c>
      <c r="F12" s="68" t="s">
        <v>28</v>
      </c>
      <c r="G12" s="55" t="s">
        <v>29</v>
      </c>
      <c r="H12" s="69" t="s">
        <v>30</v>
      </c>
      <c r="I12" s="70" t="s">
        <v>30</v>
      </c>
      <c r="J12" s="70" t="s">
        <v>30</v>
      </c>
      <c r="K12" s="70" t="s">
        <v>30</v>
      </c>
      <c r="L12" s="70" t="s">
        <v>30</v>
      </c>
      <c r="M12" s="71"/>
      <c r="N12" s="72"/>
      <c r="O12" s="73"/>
    </row>
    <row r="13" spans="1:15" ht="11.25" customHeight="1" thickBot="1" x14ac:dyDescent="0.3">
      <c r="A13" s="74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6"/>
    </row>
    <row r="14" spans="1:15" ht="18" customHeight="1" thickBot="1" x14ac:dyDescent="0.45">
      <c r="A14" s="77">
        <v>1</v>
      </c>
      <c r="B14" s="78" t="s">
        <v>31</v>
      </c>
      <c r="C14" s="78" t="s">
        <v>11</v>
      </c>
      <c r="D14" s="79"/>
      <c r="E14" s="80" t="s">
        <v>32</v>
      </c>
      <c r="F14" s="81"/>
      <c r="G14" s="81"/>
      <c r="H14" s="82"/>
      <c r="I14" s="82"/>
      <c r="J14" s="82"/>
      <c r="K14" s="81">
        <v>520</v>
      </c>
      <c r="L14" s="81">
        <f>N14+O14</f>
        <v>1549</v>
      </c>
      <c r="M14" s="83" t="s">
        <v>33</v>
      </c>
      <c r="N14" s="83">
        <v>1023</v>
      </c>
      <c r="O14" s="84">
        <v>526</v>
      </c>
    </row>
    <row r="15" spans="1:15" ht="18" customHeight="1" x14ac:dyDescent="0.4">
      <c r="A15" s="85">
        <v>2</v>
      </c>
      <c r="B15" s="86" t="s">
        <v>11</v>
      </c>
      <c r="C15" s="86" t="s">
        <v>34</v>
      </c>
      <c r="D15" s="87"/>
      <c r="E15" s="88" t="s">
        <v>35</v>
      </c>
      <c r="F15" s="89"/>
      <c r="G15" s="89"/>
      <c r="H15" s="90">
        <v>937</v>
      </c>
      <c r="I15" s="91">
        <v>3657</v>
      </c>
      <c r="J15" s="91"/>
      <c r="K15" s="92"/>
      <c r="L15" s="81">
        <f>N15+O15</f>
        <v>635</v>
      </c>
      <c r="M15" s="93" t="s">
        <v>33</v>
      </c>
      <c r="N15" s="93">
        <v>333</v>
      </c>
      <c r="O15" s="94">
        <v>302</v>
      </c>
    </row>
    <row r="16" spans="1:15" ht="18" customHeight="1" x14ac:dyDescent="0.4">
      <c r="A16" s="85">
        <v>3</v>
      </c>
      <c r="B16" s="86" t="s">
        <v>34</v>
      </c>
      <c r="C16" s="86" t="s">
        <v>36</v>
      </c>
      <c r="D16" s="87"/>
      <c r="E16" s="88" t="s">
        <v>35</v>
      </c>
      <c r="F16" s="89"/>
      <c r="G16" s="89"/>
      <c r="H16" s="90">
        <v>1450</v>
      </c>
      <c r="I16" s="91">
        <v>3650</v>
      </c>
      <c r="J16" s="91">
        <v>800</v>
      </c>
      <c r="K16" s="92"/>
      <c r="L16" s="89"/>
      <c r="M16" s="93"/>
      <c r="N16" s="93"/>
      <c r="O16" s="94"/>
    </row>
    <row r="17" spans="1:15" ht="18" customHeight="1" thickBot="1" x14ac:dyDescent="0.45">
      <c r="A17" s="85">
        <v>4</v>
      </c>
      <c r="B17" s="86" t="s">
        <v>37</v>
      </c>
      <c r="C17" s="86" t="s">
        <v>34</v>
      </c>
      <c r="D17" s="87"/>
      <c r="E17" s="88" t="s">
        <v>35</v>
      </c>
      <c r="F17" s="89"/>
      <c r="G17" s="89"/>
      <c r="H17" s="95">
        <v>725</v>
      </c>
      <c r="I17" s="96"/>
      <c r="J17" s="96">
        <v>480</v>
      </c>
      <c r="K17" s="92"/>
      <c r="L17" s="89"/>
      <c r="M17" s="93"/>
      <c r="N17" s="93"/>
      <c r="O17" s="94"/>
    </row>
    <row r="18" spans="1:15" ht="18" customHeight="1" x14ac:dyDescent="0.4">
      <c r="A18" s="85">
        <v>5</v>
      </c>
      <c r="B18" s="86" t="s">
        <v>34</v>
      </c>
      <c r="C18" s="86" t="s">
        <v>11</v>
      </c>
      <c r="D18" s="87"/>
      <c r="E18" s="88" t="s">
        <v>35</v>
      </c>
      <c r="F18" s="89"/>
      <c r="G18" s="89"/>
      <c r="H18" s="95">
        <v>937</v>
      </c>
      <c r="I18" s="96">
        <v>2500</v>
      </c>
      <c r="J18" s="96">
        <v>500</v>
      </c>
      <c r="K18" s="92"/>
      <c r="L18" s="81">
        <f>N18+O18</f>
        <v>623</v>
      </c>
      <c r="M18" s="93" t="s">
        <v>38</v>
      </c>
      <c r="N18" s="93">
        <v>257</v>
      </c>
      <c r="O18" s="94">
        <v>366</v>
      </c>
    </row>
    <row r="19" spans="1:15" ht="18" customHeight="1" x14ac:dyDescent="0.4">
      <c r="A19" s="85">
        <v>6</v>
      </c>
      <c r="B19" s="86" t="s">
        <v>11</v>
      </c>
      <c r="C19" s="86" t="s">
        <v>11</v>
      </c>
      <c r="D19" s="87"/>
      <c r="E19" s="88"/>
      <c r="F19" s="89"/>
      <c r="G19" s="89"/>
      <c r="H19" s="95"/>
      <c r="I19" s="96"/>
      <c r="J19" s="96"/>
      <c r="K19" s="92"/>
      <c r="L19" s="89"/>
      <c r="M19" s="93"/>
      <c r="N19" s="93"/>
      <c r="O19" s="94"/>
    </row>
    <row r="20" spans="1:15" ht="18" customHeight="1" x14ac:dyDescent="0.4">
      <c r="A20" s="85">
        <v>7</v>
      </c>
      <c r="B20" s="86" t="s">
        <v>11</v>
      </c>
      <c r="C20" s="86" t="s">
        <v>11</v>
      </c>
      <c r="D20" s="87"/>
      <c r="E20" s="88"/>
      <c r="F20" s="89"/>
      <c r="G20" s="89"/>
      <c r="H20" s="95"/>
      <c r="I20" s="96"/>
      <c r="J20" s="96"/>
      <c r="K20" s="92">
        <v>520</v>
      </c>
      <c r="L20" s="89"/>
      <c r="M20" s="93"/>
      <c r="N20" s="93"/>
      <c r="O20" s="94"/>
    </row>
    <row r="21" spans="1:15" ht="18" customHeight="1" x14ac:dyDescent="0.4">
      <c r="A21" s="85">
        <v>8</v>
      </c>
      <c r="B21" s="86" t="s">
        <v>11</v>
      </c>
      <c r="C21" s="86" t="s">
        <v>11</v>
      </c>
      <c r="D21" s="87"/>
      <c r="E21" s="88"/>
      <c r="F21" s="89"/>
      <c r="G21" s="89"/>
      <c r="H21" s="95"/>
      <c r="I21" s="96"/>
      <c r="J21" s="96"/>
      <c r="K21" s="92"/>
      <c r="L21" s="89"/>
      <c r="M21" s="93"/>
      <c r="N21" s="93"/>
      <c r="O21" s="94"/>
    </row>
    <row r="22" spans="1:15" ht="18" customHeight="1" x14ac:dyDescent="0.4">
      <c r="A22" s="85">
        <v>9</v>
      </c>
      <c r="B22" s="86" t="s">
        <v>11</v>
      </c>
      <c r="C22" s="86" t="s">
        <v>11</v>
      </c>
      <c r="D22" s="87"/>
      <c r="E22" s="88"/>
      <c r="F22" s="89"/>
      <c r="G22" s="89"/>
      <c r="H22" s="95"/>
      <c r="I22" s="96"/>
      <c r="J22" s="96"/>
      <c r="K22" s="92">
        <v>520</v>
      </c>
      <c r="L22" s="97"/>
      <c r="M22" s="93"/>
      <c r="N22" s="93"/>
      <c r="O22" s="94"/>
    </row>
    <row r="23" spans="1:15" ht="18" customHeight="1" x14ac:dyDescent="0.4">
      <c r="A23" s="85">
        <v>10</v>
      </c>
      <c r="B23" s="86" t="s">
        <v>11</v>
      </c>
      <c r="C23" s="86" t="s">
        <v>11</v>
      </c>
      <c r="D23" s="87"/>
      <c r="E23" s="88"/>
      <c r="F23" s="89"/>
      <c r="G23" s="89"/>
      <c r="H23" s="95"/>
      <c r="I23" s="96"/>
      <c r="J23" s="96"/>
      <c r="K23" s="92">
        <v>520</v>
      </c>
      <c r="L23" s="89"/>
      <c r="M23" s="93"/>
      <c r="N23" s="93"/>
      <c r="O23" s="94"/>
    </row>
    <row r="24" spans="1:15" ht="18" customHeight="1" x14ac:dyDescent="0.4">
      <c r="A24" s="85">
        <v>11</v>
      </c>
      <c r="B24" s="86" t="s">
        <v>39</v>
      </c>
      <c r="C24" s="86"/>
      <c r="D24" s="87"/>
      <c r="E24" s="88"/>
      <c r="F24" s="89"/>
      <c r="G24" s="89"/>
      <c r="H24" s="95"/>
      <c r="I24" s="96"/>
      <c r="J24" s="96"/>
      <c r="K24" s="92"/>
      <c r="L24" s="89"/>
      <c r="M24" s="93"/>
      <c r="N24" s="93"/>
      <c r="O24" s="94"/>
    </row>
    <row r="25" spans="1:15" ht="18" customHeight="1" x14ac:dyDescent="0.4">
      <c r="A25" s="85">
        <v>12</v>
      </c>
      <c r="B25" s="98" t="s">
        <v>40</v>
      </c>
      <c r="C25" s="86"/>
      <c r="D25" s="87"/>
      <c r="E25" s="88"/>
      <c r="F25" s="89"/>
      <c r="G25" s="89"/>
      <c r="H25" s="95"/>
      <c r="I25" s="96"/>
      <c r="J25" s="96"/>
      <c r="K25" s="92"/>
      <c r="L25" s="89"/>
      <c r="M25" s="93"/>
      <c r="N25" s="93"/>
      <c r="O25" s="94"/>
    </row>
    <row r="26" spans="1:15" ht="18" customHeight="1" thickBot="1" x14ac:dyDescent="0.45">
      <c r="A26" s="85">
        <v>13</v>
      </c>
      <c r="B26" s="86" t="s">
        <v>11</v>
      </c>
      <c r="C26" s="86"/>
      <c r="D26" s="87"/>
      <c r="E26" s="88"/>
      <c r="F26" s="89"/>
      <c r="G26" s="89"/>
      <c r="H26" s="95"/>
      <c r="I26" s="96"/>
      <c r="J26" s="96"/>
      <c r="K26" s="92">
        <v>520</v>
      </c>
      <c r="L26" s="89"/>
      <c r="M26" s="93"/>
      <c r="N26" s="93"/>
      <c r="O26" s="94"/>
    </row>
    <row r="27" spans="1:15" ht="18" customHeight="1" x14ac:dyDescent="0.4">
      <c r="A27" s="85">
        <v>14</v>
      </c>
      <c r="B27" s="86" t="s">
        <v>11</v>
      </c>
      <c r="C27" s="86" t="s">
        <v>41</v>
      </c>
      <c r="D27" s="87"/>
      <c r="E27" s="88" t="s">
        <v>32</v>
      </c>
      <c r="F27" s="89"/>
      <c r="G27" s="89"/>
      <c r="H27" s="95"/>
      <c r="I27" s="96"/>
      <c r="J27" s="96">
        <v>714</v>
      </c>
      <c r="K27" s="92"/>
      <c r="L27" s="81">
        <f>N27+O27</f>
        <v>1275</v>
      </c>
      <c r="M27" s="93" t="s">
        <v>42</v>
      </c>
      <c r="N27" s="93">
        <v>557</v>
      </c>
      <c r="O27" s="94">
        <v>718</v>
      </c>
    </row>
    <row r="28" spans="1:15" ht="18" customHeight="1" x14ac:dyDescent="0.4">
      <c r="A28" s="85">
        <v>15</v>
      </c>
      <c r="B28" s="86" t="s">
        <v>41</v>
      </c>
      <c r="C28" s="86" t="s">
        <v>41</v>
      </c>
      <c r="D28" s="87"/>
      <c r="E28" s="88"/>
      <c r="F28" s="89"/>
      <c r="G28" s="89"/>
      <c r="H28" s="95"/>
      <c r="I28" s="96"/>
      <c r="J28" s="96"/>
      <c r="K28" s="92"/>
      <c r="L28" s="89"/>
      <c r="M28" s="93"/>
      <c r="N28" s="93"/>
      <c r="O28" s="94"/>
    </row>
    <row r="29" spans="1:15" ht="18" customHeight="1" x14ac:dyDescent="0.4">
      <c r="A29" s="85">
        <v>16</v>
      </c>
      <c r="B29" s="86" t="s">
        <v>41</v>
      </c>
      <c r="C29" s="86" t="s">
        <v>41</v>
      </c>
      <c r="D29" s="87"/>
      <c r="E29" s="88"/>
      <c r="F29" s="89"/>
      <c r="G29" s="89"/>
      <c r="H29" s="95"/>
      <c r="I29" s="96"/>
      <c r="J29" s="96"/>
      <c r="K29" s="92"/>
      <c r="L29" s="89"/>
      <c r="M29" s="93"/>
      <c r="N29" s="93"/>
      <c r="O29" s="94"/>
    </row>
    <row r="30" spans="1:15" ht="18" customHeight="1" x14ac:dyDescent="0.4">
      <c r="A30" s="85">
        <v>17</v>
      </c>
      <c r="B30" s="86" t="s">
        <v>41</v>
      </c>
      <c r="C30" s="86" t="s">
        <v>41</v>
      </c>
      <c r="D30" s="87"/>
      <c r="E30" s="88"/>
      <c r="F30" s="89"/>
      <c r="G30" s="89"/>
      <c r="H30" s="95"/>
      <c r="I30" s="96">
        <v>14175</v>
      </c>
      <c r="J30" s="96"/>
      <c r="K30" s="92"/>
      <c r="L30" s="89"/>
      <c r="M30" s="93"/>
      <c r="N30" s="93"/>
      <c r="O30" s="94"/>
    </row>
    <row r="31" spans="1:15" ht="18" customHeight="1" thickBot="1" x14ac:dyDescent="0.45">
      <c r="A31" s="85">
        <v>18</v>
      </c>
      <c r="B31" s="99" t="s">
        <v>39</v>
      </c>
      <c r="C31" s="86" t="s">
        <v>41</v>
      </c>
      <c r="D31" s="87"/>
      <c r="E31" s="88"/>
      <c r="F31" s="89"/>
      <c r="G31" s="89"/>
      <c r="H31" s="95"/>
      <c r="I31" s="96"/>
      <c r="J31" s="96"/>
      <c r="K31" s="92"/>
      <c r="L31" s="89"/>
      <c r="M31" s="93"/>
      <c r="N31" s="93"/>
      <c r="O31" s="94"/>
    </row>
    <row r="32" spans="1:15" ht="18" customHeight="1" thickBot="1" x14ac:dyDescent="0.45">
      <c r="A32" s="85">
        <v>19</v>
      </c>
      <c r="B32" s="99" t="s">
        <v>41</v>
      </c>
      <c r="C32" s="86" t="s">
        <v>11</v>
      </c>
      <c r="D32" s="87"/>
      <c r="E32" s="88" t="s">
        <v>32</v>
      </c>
      <c r="F32" s="89"/>
      <c r="G32" s="89"/>
      <c r="H32" s="95"/>
      <c r="I32" s="96"/>
      <c r="J32" s="96"/>
      <c r="K32" s="92">
        <v>520</v>
      </c>
      <c r="L32" s="81">
        <f>N32+O32</f>
        <v>2315</v>
      </c>
      <c r="M32" s="93" t="s">
        <v>33</v>
      </c>
      <c r="N32" s="93">
        <v>1575</v>
      </c>
      <c r="O32" s="94">
        <v>740</v>
      </c>
    </row>
    <row r="33" spans="1:17" ht="18" customHeight="1" thickBot="1" x14ac:dyDescent="0.45">
      <c r="A33" s="85">
        <v>20</v>
      </c>
      <c r="B33" s="99" t="s">
        <v>11</v>
      </c>
      <c r="C33" s="86" t="s">
        <v>31</v>
      </c>
      <c r="D33" s="87"/>
      <c r="E33" s="88" t="s">
        <v>32</v>
      </c>
      <c r="F33" s="89"/>
      <c r="G33" s="89"/>
      <c r="H33" s="95"/>
      <c r="I33" s="96"/>
      <c r="J33" s="96"/>
      <c r="K33" s="92"/>
      <c r="L33" s="81">
        <f>N33+O33</f>
        <v>1810</v>
      </c>
      <c r="M33" s="95" t="s">
        <v>42</v>
      </c>
      <c r="N33" s="95">
        <v>450</v>
      </c>
      <c r="O33" s="100">
        <v>1360</v>
      </c>
    </row>
    <row r="34" spans="1:17" ht="18" customHeight="1" x14ac:dyDescent="0.4">
      <c r="A34" s="85">
        <v>21</v>
      </c>
      <c r="B34" s="99" t="s">
        <v>31</v>
      </c>
      <c r="C34" s="86" t="s">
        <v>11</v>
      </c>
      <c r="D34" s="87"/>
      <c r="E34" s="88" t="s">
        <v>32</v>
      </c>
      <c r="F34" s="89"/>
      <c r="G34" s="89"/>
      <c r="H34" s="95"/>
      <c r="I34" s="96">
        <v>3360</v>
      </c>
      <c r="J34" s="96">
        <v>218</v>
      </c>
      <c r="K34" s="92">
        <v>520</v>
      </c>
      <c r="L34" s="81">
        <f>N34+O34</f>
        <v>1688</v>
      </c>
      <c r="M34" s="95" t="s">
        <v>42</v>
      </c>
      <c r="N34" s="95">
        <v>780</v>
      </c>
      <c r="O34" s="100">
        <v>908</v>
      </c>
    </row>
    <row r="35" spans="1:17" ht="18" customHeight="1" x14ac:dyDescent="0.4">
      <c r="A35" s="85">
        <v>22</v>
      </c>
      <c r="B35" s="99" t="s">
        <v>11</v>
      </c>
      <c r="C35" s="86" t="s">
        <v>11</v>
      </c>
      <c r="D35" s="87"/>
      <c r="E35" s="88"/>
      <c r="F35" s="89"/>
      <c r="G35" s="89"/>
      <c r="H35" s="95"/>
      <c r="I35" s="96"/>
      <c r="J35" s="96"/>
      <c r="K35" s="92"/>
      <c r="L35" s="89"/>
      <c r="M35" s="95"/>
      <c r="N35" s="95"/>
      <c r="O35" s="100"/>
    </row>
    <row r="36" spans="1:17" ht="18" customHeight="1" x14ac:dyDescent="0.4">
      <c r="A36" s="85">
        <v>23</v>
      </c>
      <c r="B36" s="99" t="s">
        <v>11</v>
      </c>
      <c r="C36" s="86" t="s">
        <v>43</v>
      </c>
      <c r="D36" s="87"/>
      <c r="E36" s="88" t="s">
        <v>44</v>
      </c>
      <c r="F36" s="89"/>
      <c r="G36" s="89"/>
      <c r="H36" s="95"/>
      <c r="I36" s="96"/>
      <c r="J36" s="96">
        <v>1329</v>
      </c>
      <c r="K36" s="92">
        <v>520</v>
      </c>
      <c r="L36" s="89"/>
      <c r="M36" s="95"/>
      <c r="N36" s="95"/>
      <c r="O36" s="100"/>
    </row>
    <row r="37" spans="1:17" ht="18" customHeight="1" x14ac:dyDescent="0.4">
      <c r="A37" s="85">
        <v>24</v>
      </c>
      <c r="B37" s="99" t="s">
        <v>11</v>
      </c>
      <c r="C37" s="86" t="s">
        <v>11</v>
      </c>
      <c r="D37" s="87"/>
      <c r="E37" s="88"/>
      <c r="F37" s="89"/>
      <c r="G37" s="89"/>
      <c r="H37" s="95"/>
      <c r="I37" s="96"/>
      <c r="J37" s="96"/>
      <c r="K37" s="92">
        <v>520</v>
      </c>
      <c r="L37" s="89"/>
      <c r="M37" s="95"/>
      <c r="N37" s="95"/>
      <c r="O37" s="100"/>
    </row>
    <row r="38" spans="1:17" ht="18" customHeight="1" x14ac:dyDescent="0.4">
      <c r="A38" s="85">
        <v>25</v>
      </c>
      <c r="B38" s="99" t="s">
        <v>11</v>
      </c>
      <c r="C38" s="86" t="s">
        <v>11</v>
      </c>
      <c r="D38" s="87"/>
      <c r="E38" s="88"/>
      <c r="F38" s="89"/>
      <c r="G38" s="89"/>
      <c r="H38" s="95"/>
      <c r="I38" s="96"/>
      <c r="J38" s="96"/>
      <c r="K38" s="92">
        <v>520</v>
      </c>
      <c r="L38" s="89"/>
      <c r="M38" s="93"/>
      <c r="N38" s="93"/>
      <c r="O38" s="94"/>
    </row>
    <row r="39" spans="1:17" ht="18" customHeight="1" x14ac:dyDescent="0.4">
      <c r="A39" s="85">
        <v>26</v>
      </c>
      <c r="B39" s="99" t="s">
        <v>40</v>
      </c>
      <c r="C39" s="86"/>
      <c r="D39" s="87"/>
      <c r="E39" s="88"/>
      <c r="F39" s="89"/>
      <c r="G39" s="89"/>
      <c r="H39" s="95"/>
      <c r="I39" s="96"/>
      <c r="J39" s="96"/>
      <c r="K39" s="92"/>
      <c r="L39" s="89"/>
      <c r="M39" s="95"/>
      <c r="N39" s="95"/>
      <c r="O39" s="100"/>
    </row>
    <row r="40" spans="1:17" ht="18" customHeight="1" x14ac:dyDescent="0.4">
      <c r="A40" s="85">
        <v>27</v>
      </c>
      <c r="B40" s="99" t="s">
        <v>11</v>
      </c>
      <c r="C40" s="86" t="s">
        <v>11</v>
      </c>
      <c r="D40" s="87"/>
      <c r="E40" s="88"/>
      <c r="F40" s="89"/>
      <c r="G40" s="89"/>
      <c r="H40" s="95"/>
      <c r="I40" s="96"/>
      <c r="J40" s="96"/>
      <c r="K40" s="92">
        <v>520</v>
      </c>
      <c r="L40" s="89"/>
      <c r="M40" s="95"/>
      <c r="N40" s="95"/>
      <c r="O40" s="100"/>
    </row>
    <row r="41" spans="1:17" ht="18" customHeight="1" thickBot="1" x14ac:dyDescent="0.45">
      <c r="A41" s="85">
        <v>28</v>
      </c>
      <c r="B41" s="99" t="s">
        <v>11</v>
      </c>
      <c r="C41" s="86" t="s">
        <v>45</v>
      </c>
      <c r="D41" s="87"/>
      <c r="E41" s="88" t="s">
        <v>46</v>
      </c>
      <c r="F41" s="89"/>
      <c r="G41" s="89"/>
      <c r="H41" s="95"/>
      <c r="I41" s="96"/>
      <c r="J41" s="96">
        <v>728</v>
      </c>
      <c r="K41" s="92">
        <v>520</v>
      </c>
      <c r="L41" s="89">
        <v>800</v>
      </c>
      <c r="M41" s="93" t="s">
        <v>47</v>
      </c>
      <c r="N41" s="93"/>
      <c r="O41" s="94"/>
    </row>
    <row r="42" spans="1:17" ht="18" customHeight="1" x14ac:dyDescent="0.4">
      <c r="A42" s="85">
        <v>29</v>
      </c>
      <c r="B42" s="99" t="s">
        <v>11</v>
      </c>
      <c r="C42" s="86" t="s">
        <v>31</v>
      </c>
      <c r="D42" s="87"/>
      <c r="E42" s="88" t="s">
        <v>32</v>
      </c>
      <c r="F42" s="89"/>
      <c r="G42" s="89"/>
      <c r="H42" s="95"/>
      <c r="I42" s="96"/>
      <c r="J42" s="96"/>
      <c r="K42" s="92"/>
      <c r="L42" s="81">
        <f>N42+O42</f>
        <v>1869</v>
      </c>
      <c r="M42" s="93" t="s">
        <v>42</v>
      </c>
      <c r="N42" s="93">
        <v>434</v>
      </c>
      <c r="O42" s="94">
        <v>1435</v>
      </c>
    </row>
    <row r="43" spans="1:17" ht="18" customHeight="1" x14ac:dyDescent="0.4">
      <c r="A43" s="85">
        <v>30</v>
      </c>
      <c r="B43" s="99" t="s">
        <v>31</v>
      </c>
      <c r="C43" s="86" t="s">
        <v>31</v>
      </c>
      <c r="D43" s="87"/>
      <c r="E43" s="88"/>
      <c r="F43" s="89"/>
      <c r="G43" s="89"/>
      <c r="H43" s="95"/>
      <c r="I43" s="96"/>
      <c r="J43" s="96"/>
      <c r="K43" s="92"/>
      <c r="L43" s="89"/>
      <c r="M43" s="93"/>
      <c r="N43" s="93"/>
      <c r="O43" s="94"/>
    </row>
    <row r="44" spans="1:17" ht="18.75" customHeight="1" thickBot="1" x14ac:dyDescent="0.45">
      <c r="A44" s="101">
        <v>31</v>
      </c>
      <c r="B44" s="102" t="s">
        <v>31</v>
      </c>
      <c r="C44" s="103" t="s">
        <v>31</v>
      </c>
      <c r="D44" s="104"/>
      <c r="E44" s="105"/>
      <c r="F44" s="106"/>
      <c r="G44" s="106"/>
      <c r="H44" s="107"/>
      <c r="I44" s="108"/>
      <c r="J44" s="108">
        <v>7982</v>
      </c>
      <c r="K44" s="109"/>
      <c r="L44" s="106"/>
      <c r="M44" s="110"/>
      <c r="N44" s="110"/>
      <c r="O44" s="111"/>
    </row>
    <row r="45" spans="1:17" ht="20.100000000000001" customHeight="1" thickBot="1" x14ac:dyDescent="0.45">
      <c r="A45" s="112"/>
      <c r="B45" s="113"/>
      <c r="C45" s="113"/>
      <c r="D45" s="114"/>
      <c r="E45" s="115"/>
      <c r="F45" s="115"/>
      <c r="G45" s="116"/>
      <c r="H45" s="117">
        <f>SUM(H14:H44)</f>
        <v>4049</v>
      </c>
      <c r="I45" s="117">
        <f>SUM(I14:I44)</f>
        <v>27342</v>
      </c>
      <c r="J45" s="118">
        <f>SUM(J14:J44)</f>
        <v>12751</v>
      </c>
      <c r="K45" s="117">
        <f>SUM(K14:K44)</f>
        <v>6240</v>
      </c>
      <c r="L45" s="119">
        <f>SUM(L14:L44)</f>
        <v>12564</v>
      </c>
      <c r="M45" s="120"/>
      <c r="N45" s="121"/>
      <c r="O45" s="122"/>
    </row>
    <row r="46" spans="1:17" ht="13.8" thickBot="1" x14ac:dyDescent="0.3">
      <c r="A46" s="123" t="s">
        <v>48</v>
      </c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5"/>
      <c r="P46" s="126"/>
    </row>
    <row r="47" spans="1:17" ht="18" customHeight="1" thickBot="1" x14ac:dyDescent="0.3">
      <c r="A47" s="127"/>
      <c r="B47" s="128" t="s">
        <v>49</v>
      </c>
      <c r="C47" s="129">
        <f>H45+I45+J45+K45+L45</f>
        <v>62946</v>
      </c>
      <c r="D47" s="123" t="s">
        <v>50</v>
      </c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5"/>
      <c r="Q47" s="126"/>
    </row>
    <row r="48" spans="1:17" ht="18" customHeight="1" thickBot="1" x14ac:dyDescent="0.3">
      <c r="A48" s="130"/>
      <c r="B48" s="131" t="s">
        <v>51</v>
      </c>
      <c r="C48" s="132"/>
      <c r="D48" s="133" t="s">
        <v>52</v>
      </c>
      <c r="E48" s="134"/>
      <c r="F48" s="134"/>
      <c r="G48" s="135"/>
      <c r="H48" s="136" t="s">
        <v>53</v>
      </c>
      <c r="I48" s="137"/>
      <c r="J48" s="137"/>
      <c r="K48" s="137"/>
      <c r="L48" s="137"/>
      <c r="M48" s="137"/>
      <c r="N48" s="137"/>
      <c r="O48" s="138"/>
    </row>
    <row r="49" spans="1:16" ht="18" customHeight="1" thickBot="1" x14ac:dyDescent="0.3">
      <c r="A49" s="130"/>
      <c r="B49" s="139" t="s">
        <v>54</v>
      </c>
      <c r="C49" s="140"/>
      <c r="D49" s="141" t="s">
        <v>55</v>
      </c>
      <c r="E49" s="142"/>
      <c r="F49" s="143">
        <v>2500</v>
      </c>
      <c r="G49" s="143"/>
      <c r="H49" s="141" t="s">
        <v>56</v>
      </c>
      <c r="I49" s="144"/>
      <c r="J49" s="144"/>
      <c r="K49" s="145"/>
      <c r="L49" s="146"/>
      <c r="M49" s="141" t="s">
        <v>57</v>
      </c>
      <c r="N49" s="142"/>
      <c r="O49" s="147"/>
    </row>
    <row r="50" spans="1:16" ht="18" customHeight="1" x14ac:dyDescent="0.3">
      <c r="A50" s="130"/>
      <c r="B50" s="148" t="s">
        <v>58</v>
      </c>
      <c r="C50" s="149">
        <f>C47+F53</f>
        <v>66046</v>
      </c>
      <c r="D50" s="150" t="s">
        <v>59</v>
      </c>
      <c r="E50" s="151"/>
      <c r="F50" s="152"/>
      <c r="G50" s="152"/>
      <c r="H50" s="150" t="s">
        <v>60</v>
      </c>
      <c r="I50" s="153"/>
      <c r="J50" s="153"/>
      <c r="K50" s="154"/>
      <c r="L50" s="155"/>
      <c r="M50" s="150" t="s">
        <v>61</v>
      </c>
      <c r="N50" s="151"/>
      <c r="O50" s="156" t="s">
        <v>30</v>
      </c>
    </row>
    <row r="51" spans="1:16" ht="18" customHeight="1" x14ac:dyDescent="0.25">
      <c r="A51" s="130"/>
      <c r="B51" s="157" t="s">
        <v>62</v>
      </c>
      <c r="C51" s="158"/>
      <c r="D51" s="150" t="s">
        <v>63</v>
      </c>
      <c r="E51" s="151"/>
      <c r="F51" s="152"/>
      <c r="G51" s="152"/>
      <c r="H51" s="159" t="s">
        <v>64</v>
      </c>
      <c r="I51" s="152"/>
      <c r="J51" s="152"/>
      <c r="K51" s="160"/>
      <c r="L51" s="155"/>
      <c r="M51" s="150" t="s">
        <v>65</v>
      </c>
      <c r="N51" s="151"/>
      <c r="O51" s="156" t="s">
        <v>30</v>
      </c>
    </row>
    <row r="52" spans="1:16" ht="18" customHeight="1" x14ac:dyDescent="0.25">
      <c r="A52" s="130"/>
      <c r="B52" s="157" t="s">
        <v>66</v>
      </c>
      <c r="C52" s="158"/>
      <c r="D52" s="150" t="s">
        <v>67</v>
      </c>
      <c r="E52" s="151"/>
      <c r="F52" s="152">
        <v>600</v>
      </c>
      <c r="G52" s="152"/>
      <c r="H52" s="159" t="s">
        <v>68</v>
      </c>
      <c r="I52" s="152"/>
      <c r="J52" s="152"/>
      <c r="K52" s="160"/>
      <c r="L52" s="155"/>
      <c r="M52" s="150" t="s">
        <v>69</v>
      </c>
      <c r="N52" s="151"/>
      <c r="O52" s="156" t="s">
        <v>30</v>
      </c>
    </row>
    <row r="53" spans="1:16" ht="18" customHeight="1" x14ac:dyDescent="0.25">
      <c r="A53" s="161"/>
      <c r="B53" s="157" t="s">
        <v>70</v>
      </c>
      <c r="C53" s="158"/>
      <c r="D53" s="162" t="s">
        <v>71</v>
      </c>
      <c r="E53" s="163"/>
      <c r="F53" s="164">
        <f>F49+F52</f>
        <v>3100</v>
      </c>
      <c r="G53" s="164"/>
      <c r="H53" s="159"/>
      <c r="I53" s="152"/>
      <c r="J53" s="152"/>
      <c r="K53" s="160"/>
      <c r="L53" s="155"/>
      <c r="M53" s="150"/>
      <c r="N53" s="151"/>
      <c r="O53" s="156"/>
    </row>
    <row r="54" spans="1:16" ht="18" customHeight="1" thickBot="1" x14ac:dyDescent="0.3">
      <c r="A54" s="165"/>
      <c r="B54" s="166" t="s">
        <v>72</v>
      </c>
      <c r="C54" s="167"/>
      <c r="D54" s="168"/>
      <c r="E54" s="169"/>
      <c r="F54" s="170"/>
      <c r="G54" s="170"/>
      <c r="H54" s="168"/>
      <c r="I54" s="170"/>
      <c r="J54" s="170"/>
      <c r="K54" s="171"/>
      <c r="L54" s="172"/>
      <c r="M54" s="173"/>
      <c r="N54" s="174"/>
      <c r="O54" s="175"/>
    </row>
    <row r="55" spans="1:16" ht="18.75" customHeight="1" thickBot="1" x14ac:dyDescent="0.3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8"/>
    </row>
    <row r="56" spans="1:16" ht="13.8" x14ac:dyDescent="0.25">
      <c r="A56" s="179"/>
      <c r="B56" s="180"/>
      <c r="C56" s="180"/>
      <c r="D56" s="180"/>
      <c r="E56" s="180"/>
      <c r="F56" s="181"/>
      <c r="G56" s="180"/>
      <c r="H56" s="180"/>
      <c r="I56" s="180"/>
      <c r="J56" s="180"/>
      <c r="K56" s="180"/>
      <c r="L56" s="180"/>
      <c r="M56" s="180"/>
      <c r="N56" s="180"/>
      <c r="O56" s="179"/>
    </row>
    <row r="57" spans="1:16" x14ac:dyDescent="0.25">
      <c r="F57" s="182"/>
    </row>
    <row r="60" spans="1:16" x14ac:dyDescent="0.25">
      <c r="P60" s="4" t="s">
        <v>48</v>
      </c>
    </row>
  </sheetData>
  <mergeCells count="60">
    <mergeCell ref="A55:O55"/>
    <mergeCell ref="D53:E53"/>
    <mergeCell ref="F53:G53"/>
    <mergeCell ref="H53:J53"/>
    <mergeCell ref="M53:N53"/>
    <mergeCell ref="D54:E54"/>
    <mergeCell ref="F54:G54"/>
    <mergeCell ref="H54:J54"/>
    <mergeCell ref="M54:N54"/>
    <mergeCell ref="D51:E51"/>
    <mergeCell ref="F51:G51"/>
    <mergeCell ref="H51:J51"/>
    <mergeCell ref="M51:N51"/>
    <mergeCell ref="D52:E52"/>
    <mergeCell ref="F52:G52"/>
    <mergeCell ref="H52:J52"/>
    <mergeCell ref="M52:N52"/>
    <mergeCell ref="B49:C49"/>
    <mergeCell ref="D49:E49"/>
    <mergeCell ref="F49:G49"/>
    <mergeCell ref="H49:J49"/>
    <mergeCell ref="M49:N49"/>
    <mergeCell ref="D50:E50"/>
    <mergeCell ref="F50:G50"/>
    <mergeCell ref="H50:J50"/>
    <mergeCell ref="M50:N50"/>
    <mergeCell ref="A13:O13"/>
    <mergeCell ref="M45:O45"/>
    <mergeCell ref="A46:O46"/>
    <mergeCell ref="D47:O47"/>
    <mergeCell ref="D48:G48"/>
    <mergeCell ref="H48:O48"/>
    <mergeCell ref="D9:J9"/>
    <mergeCell ref="N9:O9"/>
    <mergeCell ref="A10:O10"/>
    <mergeCell ref="A11:A12"/>
    <mergeCell ref="B11:B12"/>
    <mergeCell ref="C11:C12"/>
    <mergeCell ref="D11:D12"/>
    <mergeCell ref="F11:G11"/>
    <mergeCell ref="M11:O12"/>
    <mergeCell ref="D7:G7"/>
    <mergeCell ref="K7:M7"/>
    <mergeCell ref="N7:O7"/>
    <mergeCell ref="E8:F8"/>
    <mergeCell ref="G8:H8"/>
    <mergeCell ref="K8:M8"/>
    <mergeCell ref="N8:O8"/>
    <mergeCell ref="A4:A5"/>
    <mergeCell ref="B4:B5"/>
    <mergeCell ref="C4:M4"/>
    <mergeCell ref="N4:O5"/>
    <mergeCell ref="C5:M5"/>
    <mergeCell ref="A6:O6"/>
    <mergeCell ref="A1:O1"/>
    <mergeCell ref="A2:A3"/>
    <mergeCell ref="B2:B3"/>
    <mergeCell ref="C2:M2"/>
    <mergeCell ref="N2:O3"/>
    <mergeCell ref="C3:M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shivsiddharth1201@outlook.com</dc:creator>
  <cp:lastModifiedBy>shivsiddharth1201@outlook.com</cp:lastModifiedBy>
  <dcterms:created xsi:type="dcterms:W3CDTF">2026-08-16T15:50:54Z</dcterms:created>
  <dcterms:modified xsi:type="dcterms:W3CDTF">2026-08-16T15:51:11Z</dcterms:modified>
</cp:coreProperties>
</file>